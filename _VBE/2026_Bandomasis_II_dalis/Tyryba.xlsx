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mnazija\IV_2\VBE_band\"/>
    </mc:Choice>
  </mc:AlternateContent>
  <xr:revisionPtr revIDLastSave="0" documentId="13_ncr:1_{1B09B293-FB84-4ECA-9DEC-3145520CB35B}" xr6:coauthVersionLast="47" xr6:coauthVersionMax="47" xr10:uidLastSave="{00000000-0000-0000-0000-000000000000}"/>
  <bookViews>
    <workbookView xWindow="-110" yWindow="-110" windowWidth="19420" windowHeight="10300" firstSheet="2" activeTab="8" xr2:uid="{BE2D45C9-4926-4843-9A04-006F7D654CAD}"/>
  </bookViews>
  <sheets>
    <sheet name="1 užduotis" sheetId="15" r:id="rId1"/>
    <sheet name="2 užduotis" sheetId="16" r:id="rId2"/>
    <sheet name="3 užduotis" sheetId="17" r:id="rId3"/>
    <sheet name="4 užduotis" sheetId="18" r:id="rId4"/>
    <sheet name="5 užduotis" sheetId="22" r:id="rId5"/>
    <sheet name="6 užduotis" sheetId="20" r:id="rId6"/>
    <sheet name="Atranka" sheetId="7" r:id="rId7"/>
    <sheet name="Rikiavimas" sheetId="8" r:id="rId8"/>
    <sheet name="Diagrama" sheetId="9" r:id="rId9"/>
  </sheets>
  <definedNames>
    <definedName name="_xlnm._FilterDatabase" localSheetId="6" hidden="1">Atranka!$A$1:$G$65</definedName>
    <definedName name="_xlnm._FilterDatabase" localSheetId="7" hidden="1">Rikiavimas!$A$1:$G$65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2" l="1"/>
  <c r="M7" i="22"/>
  <c r="L7" i="22"/>
  <c r="J6" i="22"/>
  <c r="K6" i="22" s="1"/>
  <c r="L6" i="22" s="1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2" i="22"/>
  <c r="P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2" i="18"/>
  <c r="O2" i="17"/>
  <c r="N3" i="16"/>
  <c r="N4" i="16"/>
  <c r="N2" i="16"/>
  <c r="P3" i="15"/>
  <c r="M6" i="22" l="1"/>
</calcChain>
</file>

<file path=xl/sharedStrings.xml><?xml version="1.0" encoding="utf-8"?>
<sst xmlns="http://schemas.openxmlformats.org/spreadsheetml/2006/main" count="1626" uniqueCount="78">
  <si>
    <t>Rungtynių data ir laikas</t>
  </si>
  <si>
    <t>1 komanda</t>
  </si>
  <si>
    <t>2 komanda</t>
  </si>
  <si>
    <t>1 komanda įmušė</t>
  </si>
  <si>
    <t>2 komanda įmušė</t>
  </si>
  <si>
    <t>Miestas</t>
  </si>
  <si>
    <t>Žiūrovų skaičius</t>
  </si>
  <si>
    <t>Kataras</t>
  </si>
  <si>
    <t>Ekvadoras</t>
  </si>
  <si>
    <t>Chauras</t>
  </si>
  <si>
    <t>Senegalas</t>
  </si>
  <si>
    <t>Nyderlandai</t>
  </si>
  <si>
    <t>Rajanas</t>
  </si>
  <si>
    <t>Anglija</t>
  </si>
  <si>
    <t>Iranas</t>
  </si>
  <si>
    <t>JAV</t>
  </si>
  <si>
    <t>Velsas</t>
  </si>
  <si>
    <t>Doha</t>
  </si>
  <si>
    <t>Argentina</t>
  </si>
  <si>
    <t>Saudo Arabija</t>
  </si>
  <si>
    <t>Lusailas</t>
  </si>
  <si>
    <t>Meksika</t>
  </si>
  <si>
    <t>Lenkija</t>
  </si>
  <si>
    <t>Danija</t>
  </si>
  <si>
    <t>Tunisas</t>
  </si>
  <si>
    <t>Australija</t>
  </si>
  <si>
    <t>Vakra</t>
  </si>
  <si>
    <t>Vokietija</t>
  </si>
  <si>
    <t>Japonija</t>
  </si>
  <si>
    <t>Ispanija</t>
  </si>
  <si>
    <t>Kosta Rika</t>
  </si>
  <si>
    <t>Marokas</t>
  </si>
  <si>
    <t>Kroatija</t>
  </si>
  <si>
    <t>Belgija</t>
  </si>
  <si>
    <t>Kanada</t>
  </si>
  <si>
    <t>Šveicarija</t>
  </si>
  <si>
    <t>Kamerūnas</t>
  </si>
  <si>
    <t>Brazilija</t>
  </si>
  <si>
    <t>Serbija</t>
  </si>
  <si>
    <t>Urugvajus</t>
  </si>
  <si>
    <t>Pietų Korėja</t>
  </si>
  <si>
    <t>Portugalija</t>
  </si>
  <si>
    <t>Gana</t>
  </si>
  <si>
    <t>Prancūzija</t>
  </si>
  <si>
    <t>Rungtynių skaičius</t>
  </si>
  <si>
    <t>Vidutinis žiūrovų skaičius</t>
  </si>
  <si>
    <t>Rungtynių data</t>
  </si>
  <si>
    <t>1 užduotis.</t>
  </si>
  <si>
    <t>2 užduotis.</t>
  </si>
  <si>
    <t>3 užduotis.</t>
  </si>
  <si>
    <t>2.1.</t>
  </si>
  <si>
    <t>2.2.</t>
  </si>
  <si>
    <t>4 užduotis.</t>
  </si>
  <si>
    <t>5 užduotis.</t>
  </si>
  <si>
    <t>6 užduotis.</t>
  </si>
  <si>
    <r>
      <t xml:space="preserve">Kiek </t>
    </r>
    <r>
      <rPr>
        <b/>
        <sz val="11"/>
        <color theme="1"/>
        <rFont val="Calibri"/>
        <family val="2"/>
        <charset val="186"/>
        <scheme val="minor"/>
      </rPr>
      <t>mažiausiai</t>
    </r>
    <r>
      <rPr>
        <sz val="11"/>
        <color theme="1"/>
        <rFont val="Calibri"/>
        <family val="2"/>
        <charset val="186"/>
        <scheme val="minor"/>
      </rPr>
      <t xml:space="preserve"> žiūrovų apsilankė vienose rungtynėse? </t>
    </r>
  </si>
  <si>
    <r>
      <t>Koks buvo</t>
    </r>
    <r>
      <rPr>
        <b/>
        <sz val="11"/>
        <color theme="1"/>
        <rFont val="Calibri"/>
        <family val="2"/>
        <charset val="186"/>
        <scheme val="minor"/>
      </rPr>
      <t xml:space="preserve"> dažniausiai pasikartojantis</t>
    </r>
    <r>
      <rPr>
        <sz val="11"/>
        <color theme="1"/>
        <rFont val="Calibri"/>
        <family val="2"/>
        <charset val="186"/>
        <scheme val="minor"/>
      </rPr>
      <t xml:space="preserve"> žiūrovų skaičius rungtynėse?</t>
    </r>
  </si>
  <si>
    <r>
      <t xml:space="preserve">Kokiame </t>
    </r>
    <r>
      <rPr>
        <b/>
        <sz val="11"/>
        <color theme="1"/>
        <rFont val="Calibri"/>
        <family val="2"/>
        <charset val="186"/>
        <scheme val="minor"/>
      </rPr>
      <t>mieste</t>
    </r>
    <r>
      <rPr>
        <sz val="11"/>
        <color theme="1"/>
        <rFont val="Calibri"/>
        <family val="2"/>
        <charset val="186"/>
        <scheme val="minor"/>
      </rPr>
      <t xml:space="preserve"> vyko šios rungtynės?</t>
    </r>
  </si>
  <si>
    <t>7 užduotis.</t>
  </si>
  <si>
    <t>9 užduotis.</t>
  </si>
  <si>
    <t>9.1.</t>
  </si>
  <si>
    <t>9.2.</t>
  </si>
  <si>
    <t>9.3.</t>
  </si>
  <si>
    <t>8 užduotis.</t>
  </si>
  <si>
    <t>9.4.</t>
  </si>
  <si>
    <t>Atrinkite paskutinės lapkričio savaitės (nuo lapkričio 24 d. iki lapkričio 30 d. imtinai) rungtynes, kuriose apsilankė daugiau kaip 50 000 žiūrovų.</t>
  </si>
  <si>
    <t>Darbo lakšte atlikite šiuos veiksmus:</t>
  </si>
  <si>
    <r>
      <t xml:space="preserve">sekai </t>
    </r>
    <r>
      <rPr>
        <i/>
        <sz val="11"/>
        <color theme="1"/>
        <rFont val="Calibri"/>
        <family val="2"/>
        <charset val="186"/>
        <scheme val="minor"/>
      </rPr>
      <t>Vidutinis žiūrovų skaičius</t>
    </r>
    <r>
      <rPr>
        <sz val="11"/>
        <color theme="1"/>
        <rFont val="Calibri"/>
        <family val="2"/>
        <charset val="186"/>
        <scheme val="minor"/>
      </rPr>
      <t xml:space="preserve"> parinkite antrinę ašį. Nustatykite, kad sekos </t>
    </r>
    <r>
      <rPr>
        <i/>
        <sz val="11"/>
        <color theme="1"/>
        <rFont val="Calibri"/>
        <family val="2"/>
        <charset val="186"/>
        <scheme val="minor"/>
      </rPr>
      <t>Rungtynių skaičius</t>
    </r>
    <r>
      <rPr>
        <sz val="11"/>
        <color theme="1"/>
        <rFont val="Calibri"/>
        <family val="2"/>
        <charset val="186"/>
        <scheme val="minor"/>
      </rPr>
      <t xml:space="preserve"> ašies skaitinės reikšmės būtų rodomos kas 1;</t>
    </r>
  </si>
  <si>
    <r>
      <t xml:space="preserve">į diagramą įterpkite linijinę krypties liniją sekai </t>
    </r>
    <r>
      <rPr>
        <i/>
        <sz val="11"/>
        <color theme="1"/>
        <rFont val="Calibri"/>
        <family val="2"/>
        <charset val="186"/>
        <scheme val="minor"/>
      </rPr>
      <t>Vidutinis žiūrovų skaičius</t>
    </r>
    <r>
      <rPr>
        <sz val="11"/>
        <color theme="1"/>
        <rFont val="Calibri"/>
        <family val="2"/>
        <charset val="186"/>
        <scheme val="minor"/>
      </rPr>
      <t>, kuri prognozuotų žiūrovų skaičių po 5 dienų;</t>
    </r>
  </si>
  <si>
    <t>remdamiesi esančiais duomenimis ir (ar) nubrėžta diagrama, langelyje F9 pateikite išvadą apie vidutinio žiūrovų skaičiaus priklausomybę nuo varžybų per dieną skaičiaus.</t>
  </si>
  <si>
    <r>
      <rPr>
        <b/>
        <sz val="11"/>
        <color theme="1"/>
        <rFont val="Calibri"/>
        <family val="2"/>
        <charset val="186"/>
        <scheme val="minor"/>
      </rPr>
      <t>Kiek dienų</t>
    </r>
    <r>
      <rPr>
        <sz val="11"/>
        <color theme="1"/>
        <rFont val="Calibri"/>
        <family val="2"/>
        <charset val="186"/>
        <scheme val="minor"/>
      </rPr>
      <t xml:space="preserve"> truko pasaulio futbolo čempionatas (dienų skaičius skaičiuojamas nuo pirmų iki paskutinių čempionato rungtynių </t>
    </r>
    <r>
      <rPr>
        <b/>
        <sz val="11"/>
        <color theme="1"/>
        <rFont val="Calibri"/>
        <family val="2"/>
        <charset val="186"/>
        <scheme val="minor"/>
      </rPr>
      <t>imtinai</t>
    </r>
    <r>
      <rPr>
        <sz val="11"/>
        <color theme="1"/>
        <rFont val="Calibri"/>
        <family val="2"/>
        <charset val="186"/>
        <scheme val="minor"/>
      </rPr>
      <t>).</t>
    </r>
  </si>
  <si>
    <r>
      <rPr>
        <b/>
        <sz val="11"/>
        <color theme="1"/>
        <rFont val="Calibri"/>
        <family val="2"/>
        <charset val="186"/>
        <scheme val="minor"/>
      </rPr>
      <t>Kiek rungtynių laimėjo</t>
    </r>
    <r>
      <rPr>
        <sz val="11"/>
        <color theme="1"/>
        <rFont val="Calibri"/>
        <family val="2"/>
        <charset val="186"/>
        <scheme val="minor"/>
      </rPr>
      <t xml:space="preserve"> čempione tapusi Argentinos komanda?</t>
    </r>
  </si>
  <si>
    <r>
      <rPr>
        <b/>
        <sz val="11"/>
        <color theme="1"/>
        <rFont val="Calibri"/>
        <family val="2"/>
        <charset val="186"/>
        <scheme val="minor"/>
      </rPr>
      <t>Kiek vidutiniškai</t>
    </r>
    <r>
      <rPr>
        <sz val="11"/>
        <color theme="1"/>
        <rFont val="Calibri"/>
        <family val="2"/>
        <charset val="186"/>
        <scheme val="minor"/>
      </rPr>
      <t xml:space="preserve"> įvarčių per visą čempionatą įmušė viena komanda? Rezultatą suapvalinkite iki </t>
    </r>
    <r>
      <rPr>
        <b/>
        <sz val="11"/>
        <color theme="1"/>
        <rFont val="Calibri"/>
        <family val="2"/>
        <charset val="186"/>
        <scheme val="minor"/>
      </rPr>
      <t>sveikojo skaičiaus</t>
    </r>
    <r>
      <rPr>
        <sz val="11"/>
        <color theme="1"/>
        <rFont val="Calibri"/>
        <family val="2"/>
        <charset val="186"/>
        <scheme val="minor"/>
      </rPr>
      <t>.</t>
    </r>
  </si>
  <si>
    <t>Surikiuokite įrašus taip, kad sąrašo viršuje būtų pateikiamos lapkričio mėnesio rungtynės, išdėstytos pagal žiūrovų skaičių mažėjimo tvarka, o sąrašas užbaigiamas gruodžio mėnesio rungtynėmis – žiūrovų skaičių didėjimo tvarka.</t>
  </si>
  <si>
    <t>įterpkite linijinę diagramą atvaizduoti kiekvienos dienos rungtynių skaičių ir vidutinį žiūrovų skaičių. Diagramą pateikite be pavadinimo. Pastaba. Diagramos viršutinis kairysis kampas turi būti E15 langelyje;</t>
  </si>
  <si>
    <r>
      <t xml:space="preserve">Apskaičiuokite </t>
    </r>
    <r>
      <rPr>
        <b/>
        <sz val="11"/>
        <color theme="1"/>
        <rFont val="Calibri"/>
        <family val="2"/>
        <charset val="186"/>
        <scheme val="minor"/>
      </rPr>
      <t>didžiausiu skirtumu</t>
    </r>
    <r>
      <rPr>
        <sz val="11"/>
        <color theme="1"/>
        <rFont val="Calibri"/>
        <family val="2"/>
        <charset val="186"/>
        <scheme val="minor"/>
      </rPr>
      <t xml:space="preserve"> pasibaigusias rungtynes.
Pateikite šių rungtynių rezultatą, užrašydami komandų pavadinimus trumpinant pirmosiomis 3 didžiosiomis raidėmis atskiriant brūkšneliu, o po tarpo abiejų komandų įmuštų įvarčių skaičius atskiriant dvitaškiu, pvz., </t>
    </r>
    <r>
      <rPr>
        <b/>
        <sz val="11"/>
        <color theme="1"/>
        <rFont val="Calibri"/>
        <family val="2"/>
        <charset val="186"/>
        <scheme val="minor"/>
      </rPr>
      <t>ABC-KLM 0:0</t>
    </r>
    <r>
      <rPr>
        <sz val="11"/>
        <color theme="1"/>
        <rFont val="Calibri"/>
        <family val="2"/>
        <charset val="186"/>
        <scheme val="minor"/>
      </rPr>
      <t>.</t>
    </r>
  </si>
  <si>
    <t>Laimejo 1</t>
  </si>
  <si>
    <t>Laimejo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</si>
</sst>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  <charset val="186"/>
    </font>
    <font>
      <sz val="16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2" fontId="1" fillId="0" borderId="1" xfId="0" applyNumberFormat="1" applyFont="1" applyBorder="1" applyAlignment="1">
      <alignment horizontal="center" vertical="top" wrapText="1"/>
    </xf>
    <xf numFmtId="20" fontId="1" fillId="2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22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5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49" fontId="0" fillId="3" borderId="0" xfId="0" applyNumberFormat="1" applyFill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Diagrama!$B$1</c:f>
              <c:strCache>
                <c:ptCount val="1"/>
                <c:pt idx="0">
                  <c:v>Rungtynių skaičius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Diagrama!$A$2:$A$24</c:f>
              <c:numCache>
                <c:formatCode>m/d/yyyy</c:formatCode>
                <c:ptCount val="23"/>
                <c:pt idx="0">
                  <c:v>44885</c:v>
                </c:pt>
                <c:pt idx="1">
                  <c:v>44886</c:v>
                </c:pt>
                <c:pt idx="2">
                  <c:v>44887</c:v>
                </c:pt>
                <c:pt idx="3">
                  <c:v>44888</c:v>
                </c:pt>
                <c:pt idx="4">
                  <c:v>44889</c:v>
                </c:pt>
                <c:pt idx="5">
                  <c:v>44890</c:v>
                </c:pt>
                <c:pt idx="6">
                  <c:v>44891</c:v>
                </c:pt>
                <c:pt idx="7">
                  <c:v>44892</c:v>
                </c:pt>
                <c:pt idx="8">
                  <c:v>44893</c:v>
                </c:pt>
                <c:pt idx="9">
                  <c:v>44894</c:v>
                </c:pt>
                <c:pt idx="10">
                  <c:v>44895</c:v>
                </c:pt>
                <c:pt idx="11">
                  <c:v>44896</c:v>
                </c:pt>
                <c:pt idx="12">
                  <c:v>44897</c:v>
                </c:pt>
                <c:pt idx="13">
                  <c:v>44898</c:v>
                </c:pt>
                <c:pt idx="14">
                  <c:v>44899</c:v>
                </c:pt>
                <c:pt idx="15">
                  <c:v>44900</c:v>
                </c:pt>
                <c:pt idx="16">
                  <c:v>44901</c:v>
                </c:pt>
                <c:pt idx="17">
                  <c:v>44904</c:v>
                </c:pt>
                <c:pt idx="18">
                  <c:v>44905</c:v>
                </c:pt>
                <c:pt idx="19">
                  <c:v>44908</c:v>
                </c:pt>
                <c:pt idx="20">
                  <c:v>44909</c:v>
                </c:pt>
                <c:pt idx="21">
                  <c:v>44912</c:v>
                </c:pt>
                <c:pt idx="22">
                  <c:v>44913</c:v>
                </c:pt>
              </c:numCache>
            </c:numRef>
          </c:cat>
          <c:val>
            <c:numRef>
              <c:f>Diagrama!$B$2:$B$24</c:f>
              <c:numCache>
                <c:formatCode>General</c:formatCode>
                <c:ptCount val="23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7-4153-AFAA-1C7978E628AC}"/>
            </c:ext>
          </c:extLst>
        </c:ser>
        <c:ser>
          <c:idx val="1"/>
          <c:order val="1"/>
          <c:tx>
            <c:strRef>
              <c:f>Diagrama!$C$1</c:f>
              <c:strCache>
                <c:ptCount val="1"/>
                <c:pt idx="0">
                  <c:v>Vidutinis žiūrovų skaičius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Diagrama!$A$2:$A$24</c:f>
              <c:numCache>
                <c:formatCode>m/d/yyyy</c:formatCode>
                <c:ptCount val="23"/>
                <c:pt idx="0">
                  <c:v>44885</c:v>
                </c:pt>
                <c:pt idx="1">
                  <c:v>44886</c:v>
                </c:pt>
                <c:pt idx="2">
                  <c:v>44887</c:v>
                </c:pt>
                <c:pt idx="3">
                  <c:v>44888</c:v>
                </c:pt>
                <c:pt idx="4">
                  <c:v>44889</c:v>
                </c:pt>
                <c:pt idx="5">
                  <c:v>44890</c:v>
                </c:pt>
                <c:pt idx="6">
                  <c:v>44891</c:v>
                </c:pt>
                <c:pt idx="7">
                  <c:v>44892</c:v>
                </c:pt>
                <c:pt idx="8">
                  <c:v>44893</c:v>
                </c:pt>
                <c:pt idx="9">
                  <c:v>44894</c:v>
                </c:pt>
                <c:pt idx="10">
                  <c:v>44895</c:v>
                </c:pt>
                <c:pt idx="11">
                  <c:v>44896</c:v>
                </c:pt>
                <c:pt idx="12">
                  <c:v>44897</c:v>
                </c:pt>
                <c:pt idx="13">
                  <c:v>44898</c:v>
                </c:pt>
                <c:pt idx="14">
                  <c:v>44899</c:v>
                </c:pt>
                <c:pt idx="15">
                  <c:v>44900</c:v>
                </c:pt>
                <c:pt idx="16">
                  <c:v>44901</c:v>
                </c:pt>
                <c:pt idx="17">
                  <c:v>44904</c:v>
                </c:pt>
                <c:pt idx="18">
                  <c:v>44905</c:v>
                </c:pt>
                <c:pt idx="19">
                  <c:v>44908</c:v>
                </c:pt>
                <c:pt idx="20">
                  <c:v>44909</c:v>
                </c:pt>
                <c:pt idx="21">
                  <c:v>44912</c:v>
                </c:pt>
                <c:pt idx="22">
                  <c:v>44913</c:v>
                </c:pt>
              </c:numCache>
            </c:numRef>
          </c:cat>
          <c:val>
            <c:numRef>
              <c:f>Diagrama!$C$2:$C$24</c:f>
              <c:numCache>
                <c:formatCode>General</c:formatCode>
                <c:ptCount val="23"/>
                <c:pt idx="0">
                  <c:v>67372</c:v>
                </c:pt>
                <c:pt idx="1">
                  <c:v>43491</c:v>
                </c:pt>
                <c:pt idx="2">
                  <c:v>52795</c:v>
                </c:pt>
                <c:pt idx="3">
                  <c:v>45615</c:v>
                </c:pt>
                <c:pt idx="4">
                  <c:v>52879</c:v>
                </c:pt>
                <c:pt idx="5">
                  <c:v>54669</c:v>
                </c:pt>
                <c:pt idx="6">
                  <c:v>54477</c:v>
                </c:pt>
                <c:pt idx="7">
                  <c:v>49622</c:v>
                </c:pt>
                <c:pt idx="8">
                  <c:v>54022</c:v>
                </c:pt>
                <c:pt idx="9">
                  <c:v>43212</c:v>
                </c:pt>
                <c:pt idx="10">
                  <c:v>53483</c:v>
                </c:pt>
                <c:pt idx="11">
                  <c:v>49748</c:v>
                </c:pt>
                <c:pt idx="12">
                  <c:v>53726</c:v>
                </c:pt>
                <c:pt idx="13">
                  <c:v>44939</c:v>
                </c:pt>
                <c:pt idx="14">
                  <c:v>53487</c:v>
                </c:pt>
                <c:pt idx="15">
                  <c:v>43185</c:v>
                </c:pt>
                <c:pt idx="16">
                  <c:v>64194</c:v>
                </c:pt>
                <c:pt idx="17">
                  <c:v>66064</c:v>
                </c:pt>
                <c:pt idx="18">
                  <c:v>56547</c:v>
                </c:pt>
                <c:pt idx="19">
                  <c:v>88966</c:v>
                </c:pt>
                <c:pt idx="20">
                  <c:v>68294</c:v>
                </c:pt>
                <c:pt idx="21">
                  <c:v>44137</c:v>
                </c:pt>
                <c:pt idx="22">
                  <c:v>88966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7-4153-AFAA-1C7978E62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515552"/>
        <c:axId val="1433395904"/>
      </c:lineChart>
      <c:dateAx>
        <c:axId val="118151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95904"/>
        <c:crosses val="autoZero"/>
        <c:auto val="1"/>
        <c:lblOffset val="100"/>
        <c:baseTimeUnit val="days"/>
      </c:dateAx>
      <c:valAx>
        <c:axId val="14333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1463675</xdr:colOff>
      <xdr:row>2</xdr:row>
      <xdr:rowOff>184150</xdr:rowOff>
    </xdr:from>
    <xdr:to>
      <xdr:col>9</xdr:col>
      <xdr:colOff>600075</xdr:colOff>
      <xdr:row>17</xdr:row>
      <xdr:rowOff>158750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AFAA6A08-8ED9-7C32-EE9A-8055E6E0F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1906-DE46-4089-A0D4-1AAA5A0F7D55}">
  <dimension ref="A1:P65"/>
  <sheetViews>
    <sheetView zoomScaleNormal="100" workbookViewId="0">
      <selection activeCell="P4" sqref="P4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4" width="10.36328125" customWidth="1"/>
    <col min="5" max="5" width="5.36328125" customWidth="1"/>
    <col min="7" max="7" width="12" customWidth="1"/>
    <col min="9" max="9" width="10.7265625" bestFit="1" customWidth="1"/>
    <col min="10" max="10" width="9.1796875" customWidth="1"/>
    <col min="13" max="14" width="9.1796875" customWidth="1"/>
    <col min="16" max="16" width="10.08984375" bestFit="1" customWidth="1"/>
  </cols>
  <sheetData>
    <row r="1" spans="1:16" ht="16.5" customHeight="1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47</v>
      </c>
      <c r="J1" s="20" t="s">
        <v>70</v>
      </c>
      <c r="K1" s="20"/>
      <c r="L1" s="20"/>
      <c r="M1" s="20"/>
      <c r="N1" s="20"/>
      <c r="O1" s="20"/>
      <c r="P1" s="20"/>
    </row>
    <row r="2" spans="1:16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J2" s="20"/>
      <c r="K2" s="20"/>
      <c r="L2" s="20"/>
      <c r="M2" s="20"/>
      <c r="N2" s="20"/>
      <c r="O2" s="20"/>
      <c r="P2" s="20"/>
    </row>
    <row r="3" spans="1:16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P3" s="33">
        <f>_xlfn.DAYS(A65,A2)+1</f>
        <v>29</v>
      </c>
    </row>
    <row r="4" spans="1:16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</row>
    <row r="5" spans="1:16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</row>
    <row r="6" spans="1:16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</row>
    <row r="7" spans="1:16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</row>
    <row r="8" spans="1:16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</row>
    <row r="9" spans="1:16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</row>
    <row r="10" spans="1:16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</row>
    <row r="11" spans="1:16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</row>
    <row r="12" spans="1:16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</row>
    <row r="13" spans="1:16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</row>
    <row r="14" spans="1:16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</row>
    <row r="15" spans="1:16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</row>
    <row r="16" spans="1:16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</row>
    <row r="17" spans="1:7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</row>
    <row r="18" spans="1:7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</row>
    <row r="20" spans="1:7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</row>
    <row r="21" spans="1:7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</row>
    <row r="22" spans="1:7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</row>
    <row r="23" spans="1:7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</row>
    <row r="24" spans="1:7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</row>
    <row r="25" spans="1:7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</row>
    <row r="26" spans="1:7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</row>
    <row r="27" spans="1:7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</row>
    <row r="28" spans="1:7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</row>
    <row r="29" spans="1:7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</row>
    <row r="30" spans="1:7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</row>
    <row r="31" spans="1:7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</row>
    <row r="32" spans="1:7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</row>
    <row r="33" spans="1:7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</row>
    <row r="34" spans="1:7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</row>
    <row r="35" spans="1:7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</row>
    <row r="36" spans="1:7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</row>
    <row r="37" spans="1:7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</row>
    <row r="38" spans="1:7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</row>
    <row r="39" spans="1:7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</row>
    <row r="40" spans="1:7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</row>
    <row r="41" spans="1:7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</row>
    <row r="42" spans="1:7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</row>
    <row r="43" spans="1:7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</row>
    <row r="44" spans="1:7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</row>
    <row r="45" spans="1:7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</row>
    <row r="46" spans="1:7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</row>
    <row r="47" spans="1:7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</row>
    <row r="48" spans="1:7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</row>
    <row r="49" spans="1:7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</row>
    <row r="50" spans="1:7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</row>
    <row r="51" spans="1:7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</row>
    <row r="52" spans="1:7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</row>
    <row r="53" spans="1:7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</row>
    <row r="54" spans="1:7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</row>
    <row r="55" spans="1:7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</row>
    <row r="56" spans="1:7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</row>
    <row r="57" spans="1:7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</row>
    <row r="58" spans="1:7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</row>
    <row r="59" spans="1:7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</row>
    <row r="60" spans="1:7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</row>
    <row r="61" spans="1:7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</row>
    <row r="62" spans="1:7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</row>
    <row r="63" spans="1:7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</row>
    <row r="64" spans="1:7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</row>
    <row r="65" spans="1:7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mergeCells count="1">
    <mergeCell ref="J1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FB72-B0AC-468C-996E-EE80C9DB55A9}">
  <dimension ref="A1:N65"/>
  <sheetViews>
    <sheetView topLeftCell="B1" zoomScaleNormal="100" workbookViewId="0">
      <selection activeCell="N4" sqref="N4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4" width="10.08984375" customWidth="1"/>
    <col min="5" max="5" width="16.453125" bestFit="1" customWidth="1"/>
    <col min="7" max="7" width="15.1796875" bestFit="1" customWidth="1"/>
    <col min="9" max="9" width="11.26953125" bestFit="1" customWidth="1"/>
    <col min="12" max="12" width="12.1796875" bestFit="1" customWidth="1"/>
    <col min="13" max="13" width="20.26953125" customWidth="1"/>
  </cols>
  <sheetData>
    <row r="1" spans="1:14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48</v>
      </c>
    </row>
    <row r="2" spans="1:14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I2" s="8" t="s">
        <v>50</v>
      </c>
      <c r="J2" t="s">
        <v>55</v>
      </c>
      <c r="N2" s="9">
        <f>MIN(G2:G65)</f>
        <v>39089</v>
      </c>
    </row>
    <row r="3" spans="1:14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N3">
        <f>MATCH(N2,G2:G65,0)</f>
        <v>37</v>
      </c>
    </row>
    <row r="4" spans="1:14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  <c r="I4" s="8" t="s">
        <v>51</v>
      </c>
      <c r="J4" t="s">
        <v>57</v>
      </c>
      <c r="N4" s="9" t="str">
        <f>INDEX(F2:F65,MATCH(N2,G2:G65,0))</f>
        <v>Vakra</v>
      </c>
    </row>
    <row r="5" spans="1:14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</row>
    <row r="6" spans="1:14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</row>
    <row r="7" spans="1:14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</row>
    <row r="8" spans="1:14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</row>
    <row r="9" spans="1:14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</row>
    <row r="10" spans="1:14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</row>
    <row r="11" spans="1:14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</row>
    <row r="12" spans="1:14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</row>
    <row r="13" spans="1:14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</row>
    <row r="14" spans="1:14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</row>
    <row r="15" spans="1:14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</row>
    <row r="16" spans="1:14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</row>
    <row r="17" spans="1:7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</row>
    <row r="18" spans="1:7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</row>
    <row r="20" spans="1:7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</row>
    <row r="21" spans="1:7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</row>
    <row r="22" spans="1:7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</row>
    <row r="23" spans="1:7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</row>
    <row r="24" spans="1:7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</row>
    <row r="25" spans="1:7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</row>
    <row r="26" spans="1:7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</row>
    <row r="27" spans="1:7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</row>
    <row r="28" spans="1:7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</row>
    <row r="29" spans="1:7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</row>
    <row r="30" spans="1:7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</row>
    <row r="31" spans="1:7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</row>
    <row r="32" spans="1:7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</row>
    <row r="33" spans="1:7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</row>
    <row r="34" spans="1:7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</row>
    <row r="35" spans="1:7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</row>
    <row r="36" spans="1:7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</row>
    <row r="37" spans="1:7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</row>
    <row r="38" spans="1:7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</row>
    <row r="39" spans="1:7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</row>
    <row r="40" spans="1:7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</row>
    <row r="41" spans="1:7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</row>
    <row r="42" spans="1:7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</row>
    <row r="43" spans="1:7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</row>
    <row r="44" spans="1:7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</row>
    <row r="45" spans="1:7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</row>
    <row r="46" spans="1:7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</row>
    <row r="47" spans="1:7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</row>
    <row r="48" spans="1:7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</row>
    <row r="49" spans="1:7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</row>
    <row r="50" spans="1:7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</row>
    <row r="51" spans="1:7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</row>
    <row r="52" spans="1:7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</row>
    <row r="53" spans="1:7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</row>
    <row r="54" spans="1:7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</row>
    <row r="55" spans="1:7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</row>
    <row r="56" spans="1:7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</row>
    <row r="57" spans="1:7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</row>
    <row r="58" spans="1:7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</row>
    <row r="59" spans="1:7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</row>
    <row r="60" spans="1:7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</row>
    <row r="61" spans="1:7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</row>
    <row r="62" spans="1:7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</row>
    <row r="63" spans="1:7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</row>
    <row r="64" spans="1:7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</row>
    <row r="65" spans="1:7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3514-3A86-4EB0-8C65-D1B2C3CE4431}">
  <dimension ref="A1:O65"/>
  <sheetViews>
    <sheetView topLeftCell="B1" zoomScaleNormal="100" workbookViewId="0">
      <selection activeCell="O2" sqref="O2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4" width="11.26953125" customWidth="1"/>
    <col min="5" max="5" width="9.6328125" customWidth="1"/>
    <col min="7" max="7" width="15.1796875" bestFit="1" customWidth="1"/>
    <col min="9" max="9" width="11.26953125" bestFit="1" customWidth="1"/>
    <col min="10" max="14" width="10" customWidth="1"/>
  </cols>
  <sheetData>
    <row r="1" spans="1:15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49</v>
      </c>
      <c r="J1" t="s">
        <v>56</v>
      </c>
    </row>
    <row r="2" spans="1:15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O2" s="9">
        <f>MODE(G2:G65)</f>
        <v>88966</v>
      </c>
    </row>
    <row r="3" spans="1:15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</row>
    <row r="4" spans="1:15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</row>
    <row r="5" spans="1:15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</row>
    <row r="6" spans="1:15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</row>
    <row r="7" spans="1:15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</row>
    <row r="8" spans="1:15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</row>
    <row r="9" spans="1:15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</row>
    <row r="10" spans="1:15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</row>
    <row r="11" spans="1:15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</row>
    <row r="12" spans="1:15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</row>
    <row r="13" spans="1:15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</row>
    <row r="14" spans="1:15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</row>
    <row r="15" spans="1:15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</row>
    <row r="16" spans="1:15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</row>
    <row r="17" spans="1:7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</row>
    <row r="18" spans="1:7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</row>
    <row r="20" spans="1:7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</row>
    <row r="21" spans="1:7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</row>
    <row r="22" spans="1:7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</row>
    <row r="23" spans="1:7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</row>
    <row r="24" spans="1:7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</row>
    <row r="25" spans="1:7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</row>
    <row r="26" spans="1:7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</row>
    <row r="27" spans="1:7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</row>
    <row r="28" spans="1:7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</row>
    <row r="29" spans="1:7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</row>
    <row r="30" spans="1:7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</row>
    <row r="31" spans="1:7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</row>
    <row r="32" spans="1:7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</row>
    <row r="33" spans="1:7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</row>
    <row r="34" spans="1:7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</row>
    <row r="35" spans="1:7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</row>
    <row r="36" spans="1:7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</row>
    <row r="37" spans="1:7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</row>
    <row r="38" spans="1:7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</row>
    <row r="39" spans="1:7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</row>
    <row r="40" spans="1:7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</row>
    <row r="41" spans="1:7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</row>
    <row r="42" spans="1:7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</row>
    <row r="43" spans="1:7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</row>
    <row r="44" spans="1:7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</row>
    <row r="45" spans="1:7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</row>
    <row r="46" spans="1:7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</row>
    <row r="47" spans="1:7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</row>
    <row r="48" spans="1:7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</row>
    <row r="49" spans="1:7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</row>
    <row r="50" spans="1:7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</row>
    <row r="51" spans="1:7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</row>
    <row r="52" spans="1:7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</row>
    <row r="53" spans="1:7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</row>
    <row r="54" spans="1:7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</row>
    <row r="55" spans="1:7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</row>
    <row r="56" spans="1:7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</row>
    <row r="57" spans="1:7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</row>
    <row r="58" spans="1:7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</row>
    <row r="59" spans="1:7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</row>
    <row r="60" spans="1:7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</row>
    <row r="61" spans="1:7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</row>
    <row r="62" spans="1:7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</row>
    <row r="63" spans="1:7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</row>
    <row r="64" spans="1:7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</row>
    <row r="65" spans="1:7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B7A4-9587-41AE-9057-D7F539331D97}">
  <dimension ref="A1:P65"/>
  <sheetViews>
    <sheetView zoomScaleNormal="100" workbookViewId="0">
      <selection activeCell="P2" sqref="P2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4" width="11.90625" customWidth="1"/>
    <col min="5" max="5" width="11.1796875" customWidth="1"/>
    <col min="7" max="7" width="15.1796875" bestFit="1" customWidth="1"/>
    <col min="8" max="8" width="10.453125" customWidth="1"/>
    <col min="10" max="10" width="11.26953125" bestFit="1" customWidth="1"/>
    <col min="11" max="11" width="4.7265625" customWidth="1"/>
    <col min="12" max="12" width="3.6328125" hidden="1" customWidth="1"/>
    <col min="13" max="14" width="9.1796875" hidden="1" customWidth="1"/>
  </cols>
  <sheetData>
    <row r="1" spans="1:16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4" t="s">
        <v>76</v>
      </c>
      <c r="I1" s="1" t="s">
        <v>77</v>
      </c>
      <c r="J1" s="8" t="s">
        <v>52</v>
      </c>
      <c r="K1" t="s">
        <v>71</v>
      </c>
    </row>
    <row r="2" spans="1:16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H2" s="35" t="str">
        <f>_xlfn.IFS(D2&gt;E2,"Laimejo",D2&lt;=E2,"-")</f>
        <v>-</v>
      </c>
      <c r="I2" t="str">
        <f>_xlfn.IFS(E2&gt;D2,"Laimejo",E2&lt;=D2,"-")</f>
        <v>Laimejo</v>
      </c>
      <c r="P2" s="9">
        <f>COUNTIFS(H2:H65,"Laimejo",B2:B65,"Argentina")+COUNTIFS(I2:I65,"Laimejo",C2:C65,"Argentina")</f>
        <v>4</v>
      </c>
    </row>
    <row r="3" spans="1:16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H3" s="35" t="str">
        <f t="shared" ref="H3:H65" si="0">_xlfn.IFS(D3&gt;E3,"Laimejo",D3&lt;=E3,"-")</f>
        <v>-</v>
      </c>
      <c r="I3" t="str">
        <f t="shared" ref="I3:I65" si="1">_xlfn.IFS(E3&gt;D3,"Laimejo",E3&lt;=D3,"-")</f>
        <v>Laimejo</v>
      </c>
    </row>
    <row r="4" spans="1:16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  <c r="H4" s="35" t="str">
        <f t="shared" si="0"/>
        <v>-</v>
      </c>
      <c r="I4" t="str">
        <f t="shared" si="1"/>
        <v>Laimejo</v>
      </c>
    </row>
    <row r="5" spans="1:16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  <c r="H5" s="35" t="str">
        <f t="shared" si="0"/>
        <v>-</v>
      </c>
      <c r="I5" t="str">
        <f t="shared" si="1"/>
        <v>-</v>
      </c>
    </row>
    <row r="6" spans="1:16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  <c r="H6" s="35" t="str">
        <f t="shared" si="0"/>
        <v>-</v>
      </c>
      <c r="I6" t="str">
        <f t="shared" si="1"/>
        <v>Laimejo</v>
      </c>
    </row>
    <row r="7" spans="1:16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  <c r="H7" s="35" t="str">
        <f t="shared" si="0"/>
        <v>Laimejo</v>
      </c>
      <c r="I7" t="str">
        <f t="shared" si="1"/>
        <v>-</v>
      </c>
    </row>
    <row r="8" spans="1:16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  <c r="H8" s="35" t="str">
        <f t="shared" si="0"/>
        <v>Laimejo</v>
      </c>
      <c r="I8" t="str">
        <f t="shared" si="1"/>
        <v>-</v>
      </c>
    </row>
    <row r="9" spans="1:16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  <c r="H9" s="35" t="str">
        <f t="shared" si="0"/>
        <v>-</v>
      </c>
      <c r="I9" t="str">
        <f t="shared" si="1"/>
        <v>-</v>
      </c>
    </row>
    <row r="10" spans="1:16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  <c r="H10" s="35" t="str">
        <f t="shared" si="0"/>
        <v>-</v>
      </c>
      <c r="I10" t="str">
        <f t="shared" si="1"/>
        <v>Laimejo</v>
      </c>
    </row>
    <row r="11" spans="1:16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  <c r="H11" s="35" t="str">
        <f t="shared" si="0"/>
        <v>-</v>
      </c>
      <c r="I11" t="str">
        <f t="shared" si="1"/>
        <v>-</v>
      </c>
    </row>
    <row r="12" spans="1:16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  <c r="H12" s="35" t="str">
        <f t="shared" si="0"/>
        <v>-</v>
      </c>
      <c r="I12" t="str">
        <f t="shared" si="1"/>
        <v>Laimejo</v>
      </c>
    </row>
    <row r="13" spans="1:16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  <c r="H13" s="35" t="str">
        <f t="shared" si="0"/>
        <v>-</v>
      </c>
      <c r="I13" t="str">
        <f t="shared" si="1"/>
        <v>Laimejo</v>
      </c>
    </row>
    <row r="14" spans="1:16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  <c r="H14" s="35" t="str">
        <f t="shared" si="0"/>
        <v>-</v>
      </c>
      <c r="I14" t="str">
        <f t="shared" si="1"/>
        <v>Laimejo</v>
      </c>
    </row>
    <row r="15" spans="1:16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  <c r="H15" s="35" t="str">
        <f t="shared" si="0"/>
        <v>-</v>
      </c>
      <c r="I15" t="str">
        <f t="shared" si="1"/>
        <v>-</v>
      </c>
    </row>
    <row r="16" spans="1:16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  <c r="H16" s="35" t="str">
        <f t="shared" si="0"/>
        <v>Laimejo</v>
      </c>
      <c r="I16" t="str">
        <f t="shared" si="1"/>
        <v>-</v>
      </c>
    </row>
    <row r="17" spans="1:9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  <c r="H17" s="35" t="str">
        <f t="shared" si="0"/>
        <v>Laimejo</v>
      </c>
      <c r="I17" t="str">
        <f t="shared" si="1"/>
        <v>-</v>
      </c>
    </row>
    <row r="18" spans="1:9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  <c r="H18" s="35" t="str">
        <f t="shared" si="0"/>
        <v>-</v>
      </c>
      <c r="I18" t="str">
        <f t="shared" si="1"/>
        <v>Laimejo</v>
      </c>
    </row>
    <row r="19" spans="1:9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  <c r="H19" s="35" t="str">
        <f t="shared" si="0"/>
        <v>-</v>
      </c>
      <c r="I19" t="str">
        <f t="shared" si="1"/>
        <v>Laimejo</v>
      </c>
    </row>
    <row r="20" spans="1:9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  <c r="H20" s="35" t="str">
        <f t="shared" si="0"/>
        <v>-</v>
      </c>
      <c r="I20" t="str">
        <f t="shared" si="1"/>
        <v>-</v>
      </c>
    </row>
    <row r="21" spans="1:9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  <c r="H21" s="35" t="str">
        <f t="shared" si="0"/>
        <v>-</v>
      </c>
      <c r="I21" t="str">
        <f t="shared" si="1"/>
        <v>-</v>
      </c>
    </row>
    <row r="22" spans="1:9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  <c r="H22" s="35" t="str">
        <f t="shared" si="0"/>
        <v>-</v>
      </c>
      <c r="I22" t="str">
        <f t="shared" si="1"/>
        <v>Laimejo</v>
      </c>
    </row>
    <row r="23" spans="1:9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  <c r="H23" s="35" t="str">
        <f t="shared" si="0"/>
        <v>Laimejo</v>
      </c>
      <c r="I23" t="str">
        <f t="shared" si="1"/>
        <v>-</v>
      </c>
    </row>
    <row r="24" spans="1:9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  <c r="H24" s="35" t="str">
        <f t="shared" si="0"/>
        <v>Laimejo</v>
      </c>
      <c r="I24" t="str">
        <f t="shared" si="1"/>
        <v>-</v>
      </c>
    </row>
    <row r="25" spans="1:9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  <c r="H25" s="35" t="str">
        <f t="shared" si="0"/>
        <v>Laimejo</v>
      </c>
      <c r="I25" t="str">
        <f t="shared" si="1"/>
        <v>-</v>
      </c>
    </row>
    <row r="26" spans="1:9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  <c r="H26" s="35" t="str">
        <f t="shared" si="0"/>
        <v>-</v>
      </c>
      <c r="I26" t="str">
        <f t="shared" si="1"/>
        <v>Laimejo</v>
      </c>
    </row>
    <row r="27" spans="1:9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  <c r="H27" s="35" t="str">
        <f t="shared" si="0"/>
        <v>Laimejo</v>
      </c>
      <c r="I27" t="str">
        <f t="shared" si="1"/>
        <v>-</v>
      </c>
    </row>
    <row r="28" spans="1:9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  <c r="H28" s="35" t="str">
        <f t="shared" si="0"/>
        <v>-</v>
      </c>
      <c r="I28" t="str">
        <f t="shared" si="1"/>
        <v>Laimejo</v>
      </c>
    </row>
    <row r="29" spans="1:9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  <c r="H29" s="35" t="str">
        <f t="shared" si="0"/>
        <v>-</v>
      </c>
      <c r="I29" t="str">
        <f t="shared" si="1"/>
        <v>-</v>
      </c>
    </row>
    <row r="30" spans="1:9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  <c r="H30" s="35" t="str">
        <f t="shared" si="0"/>
        <v>Laimejo</v>
      </c>
      <c r="I30" t="str">
        <f t="shared" si="1"/>
        <v>-</v>
      </c>
    </row>
    <row r="31" spans="1:9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  <c r="H31" s="35" t="str">
        <f t="shared" si="0"/>
        <v>-</v>
      </c>
      <c r="I31" t="str">
        <f t="shared" si="1"/>
        <v>Laimejo</v>
      </c>
    </row>
    <row r="32" spans="1:9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  <c r="H32" s="35" t="str">
        <f t="shared" si="0"/>
        <v>-</v>
      </c>
      <c r="I32" t="str">
        <f t="shared" si="1"/>
        <v>-</v>
      </c>
    </row>
    <row r="33" spans="1:9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  <c r="H33" s="35" t="str">
        <f t="shared" si="0"/>
        <v>Laimejo</v>
      </c>
      <c r="I33" t="str">
        <f t="shared" si="1"/>
        <v>-</v>
      </c>
    </row>
    <row r="34" spans="1:9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  <c r="H34" s="35" t="str">
        <f t="shared" si="0"/>
        <v>-</v>
      </c>
      <c r="I34" t="str">
        <f t="shared" si="1"/>
        <v>Laimejo</v>
      </c>
    </row>
    <row r="35" spans="1:9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  <c r="H35" s="35" t="str">
        <f t="shared" si="0"/>
        <v>Laimejo</v>
      </c>
      <c r="I35" t="str">
        <f t="shared" si="1"/>
        <v>-</v>
      </c>
    </row>
    <row r="36" spans="1:9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  <c r="H36" s="35" t="str">
        <f t="shared" si="0"/>
        <v>-</v>
      </c>
      <c r="I36" t="str">
        <f t="shared" si="1"/>
        <v>-</v>
      </c>
    </row>
    <row r="37" spans="1:9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  <c r="H37" s="35" t="str">
        <f t="shared" si="0"/>
        <v>-</v>
      </c>
      <c r="I37" t="str">
        <f t="shared" si="1"/>
        <v>Laimejo</v>
      </c>
    </row>
    <row r="38" spans="1:9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  <c r="H38" s="35" t="str">
        <f t="shared" si="0"/>
        <v>Laimejo</v>
      </c>
      <c r="I38" t="str">
        <f t="shared" si="1"/>
        <v>-</v>
      </c>
    </row>
    <row r="39" spans="1:9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  <c r="H39" s="35" t="str">
        <f t="shared" si="0"/>
        <v>Laimejo</v>
      </c>
      <c r="I39" t="str">
        <f t="shared" si="1"/>
        <v>-</v>
      </c>
    </row>
    <row r="40" spans="1:9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  <c r="H40" s="35" t="str">
        <f t="shared" si="0"/>
        <v>-</v>
      </c>
      <c r="I40" t="str">
        <f t="shared" si="1"/>
        <v>-</v>
      </c>
    </row>
    <row r="41" spans="1:9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  <c r="H41" s="35" t="str">
        <f t="shared" si="0"/>
        <v>Laimejo</v>
      </c>
      <c r="I41" t="str">
        <f t="shared" si="1"/>
        <v>-</v>
      </c>
    </row>
    <row r="42" spans="1:9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  <c r="H42" s="35" t="str">
        <f t="shared" si="0"/>
        <v>-</v>
      </c>
      <c r="I42" t="str">
        <f t="shared" si="1"/>
        <v>Laimejo</v>
      </c>
    </row>
    <row r="43" spans="1:9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  <c r="H43" s="35" t="str">
        <f t="shared" si="0"/>
        <v>Laimejo</v>
      </c>
      <c r="I43" t="str">
        <f t="shared" si="1"/>
        <v>-</v>
      </c>
    </row>
    <row r="44" spans="1:9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  <c r="H44" s="35" t="str">
        <f t="shared" si="0"/>
        <v>-</v>
      </c>
      <c r="I44" t="str">
        <f t="shared" si="1"/>
        <v>-</v>
      </c>
    </row>
    <row r="45" spans="1:9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  <c r="H45" s="35" t="str">
        <f t="shared" si="0"/>
        <v>Laimejo</v>
      </c>
      <c r="I45" t="str">
        <f t="shared" si="1"/>
        <v>-</v>
      </c>
    </row>
    <row r="46" spans="1:9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  <c r="H46" s="35" t="str">
        <f t="shared" si="0"/>
        <v>-</v>
      </c>
      <c r="I46" t="str">
        <f t="shared" si="1"/>
        <v>Laimejo</v>
      </c>
    </row>
    <row r="47" spans="1:9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  <c r="H47" s="35" t="str">
        <f t="shared" si="0"/>
        <v>Laimejo</v>
      </c>
      <c r="I47" t="str">
        <f t="shared" si="1"/>
        <v>-</v>
      </c>
    </row>
    <row r="48" spans="1:9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  <c r="H48" s="35" t="str">
        <f t="shared" si="0"/>
        <v>-</v>
      </c>
      <c r="I48" t="str">
        <f t="shared" si="1"/>
        <v>Laimejo</v>
      </c>
    </row>
    <row r="49" spans="1:9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  <c r="H49" s="35" t="str">
        <f t="shared" si="0"/>
        <v>Laimejo</v>
      </c>
      <c r="I49" t="str">
        <f t="shared" si="1"/>
        <v>-</v>
      </c>
    </row>
    <row r="50" spans="1:9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  <c r="H50" s="35" t="str">
        <f t="shared" si="0"/>
        <v>Laimejo</v>
      </c>
      <c r="I50" t="str">
        <f t="shared" si="1"/>
        <v>-</v>
      </c>
    </row>
    <row r="51" spans="1:9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  <c r="H51" s="35" t="str">
        <f t="shared" si="0"/>
        <v>Laimejo</v>
      </c>
      <c r="I51" t="str">
        <f t="shared" si="1"/>
        <v>-</v>
      </c>
    </row>
    <row r="52" spans="1:9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  <c r="H52" s="35" t="str">
        <f t="shared" si="0"/>
        <v>Laimejo</v>
      </c>
      <c r="I52" t="str">
        <f t="shared" si="1"/>
        <v>-</v>
      </c>
    </row>
    <row r="53" spans="1:9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  <c r="H53" s="35" t="str">
        <f t="shared" si="0"/>
        <v>Laimejo</v>
      </c>
      <c r="I53" t="str">
        <f t="shared" si="1"/>
        <v>-</v>
      </c>
    </row>
    <row r="54" spans="1:9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  <c r="H54" s="35" t="str">
        <f t="shared" si="0"/>
        <v>-</v>
      </c>
      <c r="I54" t="str">
        <f t="shared" si="1"/>
        <v>-</v>
      </c>
    </row>
    <row r="55" spans="1:9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  <c r="H55" s="35" t="str">
        <f t="shared" si="0"/>
        <v>Laimejo</v>
      </c>
      <c r="I55" t="str">
        <f t="shared" si="1"/>
        <v>-</v>
      </c>
    </row>
    <row r="56" spans="1:9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  <c r="H56" s="35" t="str">
        <f t="shared" si="0"/>
        <v>-</v>
      </c>
      <c r="I56" t="str">
        <f t="shared" si="1"/>
        <v>-</v>
      </c>
    </row>
    <row r="57" spans="1:9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  <c r="H57" s="35" t="str">
        <f t="shared" si="0"/>
        <v>Laimejo</v>
      </c>
      <c r="I57" t="str">
        <f t="shared" si="1"/>
        <v>-</v>
      </c>
    </row>
    <row r="58" spans="1:9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  <c r="H58" s="35" t="str">
        <f t="shared" si="0"/>
        <v>-</v>
      </c>
      <c r="I58" t="str">
        <f t="shared" si="1"/>
        <v>-</v>
      </c>
    </row>
    <row r="59" spans="1:9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  <c r="H59" s="35" t="str">
        <f t="shared" si="0"/>
        <v>-</v>
      </c>
      <c r="I59" t="str">
        <f t="shared" si="1"/>
        <v>-</v>
      </c>
    </row>
    <row r="60" spans="1:9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  <c r="H60" s="35" t="str">
        <f t="shared" si="0"/>
        <v>Laimejo</v>
      </c>
      <c r="I60" t="str">
        <f t="shared" si="1"/>
        <v>-</v>
      </c>
    </row>
    <row r="61" spans="1:9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  <c r="H61" s="35" t="str">
        <f t="shared" si="0"/>
        <v>-</v>
      </c>
      <c r="I61" t="str">
        <f t="shared" si="1"/>
        <v>Laimejo</v>
      </c>
    </row>
    <row r="62" spans="1:9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  <c r="H62" s="35" t="str">
        <f t="shared" si="0"/>
        <v>Laimejo</v>
      </c>
      <c r="I62" t="str">
        <f t="shared" si="1"/>
        <v>-</v>
      </c>
    </row>
    <row r="63" spans="1:9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  <c r="H63" s="35" t="str">
        <f t="shared" si="0"/>
        <v>Laimejo</v>
      </c>
      <c r="I63" t="str">
        <f t="shared" si="1"/>
        <v>-</v>
      </c>
    </row>
    <row r="64" spans="1:9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  <c r="H64" s="35" t="str">
        <f t="shared" si="0"/>
        <v>Laimejo</v>
      </c>
      <c r="I64" t="str">
        <f t="shared" si="1"/>
        <v>-</v>
      </c>
    </row>
    <row r="65" spans="1:9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  <c r="H65" s="35" t="str">
        <f t="shared" si="0"/>
        <v>-</v>
      </c>
      <c r="I65" t="str">
        <f t="shared" si="1"/>
        <v>-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C385-6BDB-4954-9721-F559519642D0}">
  <dimension ref="A1:P65"/>
  <sheetViews>
    <sheetView topLeftCell="B1" zoomScaleNormal="100" workbookViewId="0">
      <selection activeCell="O5" sqref="O5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4" width="10.453125" customWidth="1"/>
    <col min="5" max="5" width="7.7265625" customWidth="1"/>
    <col min="7" max="7" width="15.1796875" bestFit="1" customWidth="1"/>
    <col min="9" max="9" width="10.7265625" bestFit="1" customWidth="1"/>
    <col min="10" max="10" width="11.26953125" bestFit="1" customWidth="1"/>
    <col min="14" max="14" width="12.1796875" bestFit="1" customWidth="1"/>
    <col min="15" max="15" width="20.26953125" customWidth="1"/>
  </cols>
  <sheetData>
    <row r="1" spans="1:16" ht="15" customHeight="1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53</v>
      </c>
      <c r="J1" s="21" t="s">
        <v>75</v>
      </c>
      <c r="K1" s="21"/>
      <c r="L1" s="21"/>
      <c r="M1" s="21"/>
      <c r="N1" s="21"/>
      <c r="O1" s="21"/>
    </row>
    <row r="2" spans="1:16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H2">
        <f>ABS(E2-D2)</f>
        <v>2</v>
      </c>
      <c r="J2" s="21"/>
      <c r="K2" s="21"/>
      <c r="L2" s="21"/>
      <c r="M2" s="21"/>
      <c r="N2" s="21"/>
      <c r="O2" s="21"/>
    </row>
    <row r="3" spans="1:16" ht="15" customHeight="1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H3">
        <f t="shared" ref="H3:H65" si="0">ABS(E3-D3)</f>
        <v>2</v>
      </c>
      <c r="J3" s="21"/>
      <c r="K3" s="21"/>
      <c r="L3" s="21"/>
      <c r="M3" s="21"/>
      <c r="N3" s="21"/>
      <c r="O3" s="21"/>
      <c r="P3" s="14"/>
    </row>
    <row r="4" spans="1:16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  <c r="H4">
        <f t="shared" si="0"/>
        <v>2</v>
      </c>
      <c r="J4" s="21"/>
      <c r="K4" s="21"/>
      <c r="L4" s="21"/>
      <c r="M4" s="21"/>
      <c r="N4" s="21"/>
      <c r="O4" s="21"/>
      <c r="P4" s="14"/>
    </row>
    <row r="5" spans="1:16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  <c r="H5">
        <f t="shared" si="0"/>
        <v>0</v>
      </c>
      <c r="J5" s="14"/>
      <c r="K5" s="14"/>
      <c r="L5" s="14"/>
      <c r="M5" s="14"/>
      <c r="N5" s="14"/>
      <c r="O5" s="9" t="str">
        <f>UPPER(LEFT(L6,3))&amp;"-"&amp;UPPER(LEFT(M6,3))&amp;" "&amp;L7&amp;":"&amp;M7</f>
        <v>ISP-KOS 7:0</v>
      </c>
      <c r="P5" s="14"/>
    </row>
    <row r="6" spans="1:16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  <c r="H6">
        <f t="shared" si="0"/>
        <v>1</v>
      </c>
      <c r="J6" s="14">
        <f>MAX(H2:H65)</f>
        <v>7</v>
      </c>
      <c r="K6" s="14">
        <f>MATCH(J6, H2:H65,0)</f>
        <v>26</v>
      </c>
      <c r="L6" s="14" t="str">
        <f>INDEX(B2:B65,K6)</f>
        <v>Ispanija</v>
      </c>
      <c r="M6" s="14" t="str">
        <f>INDEX(C2:C65,K6)</f>
        <v>Kosta Rika</v>
      </c>
      <c r="N6" s="14"/>
      <c r="O6" s="14"/>
      <c r="P6" s="14"/>
    </row>
    <row r="7" spans="1:16" ht="29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  <c r="H7">
        <f t="shared" si="0"/>
        <v>2</v>
      </c>
      <c r="L7" s="14">
        <f>INDEX(D2:D65,K6)</f>
        <v>7</v>
      </c>
      <c r="M7" s="14">
        <f>INDEX(E2:E65,K6)</f>
        <v>0</v>
      </c>
    </row>
    <row r="8" spans="1:16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  <c r="H8">
        <f t="shared" si="0"/>
        <v>4</v>
      </c>
    </row>
    <row r="9" spans="1:16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  <c r="H9">
        <f t="shared" si="0"/>
        <v>0</v>
      </c>
    </row>
    <row r="10" spans="1:16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  <c r="H10">
        <f t="shared" si="0"/>
        <v>2</v>
      </c>
    </row>
    <row r="11" spans="1:16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  <c r="H11">
        <f t="shared" si="0"/>
        <v>0</v>
      </c>
    </row>
    <row r="12" spans="1:16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  <c r="H12">
        <f t="shared" si="0"/>
        <v>3</v>
      </c>
    </row>
    <row r="13" spans="1:16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  <c r="H13">
        <f t="shared" si="0"/>
        <v>1</v>
      </c>
    </row>
    <row r="14" spans="1:16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  <c r="H14">
        <f t="shared" si="0"/>
        <v>1</v>
      </c>
    </row>
    <row r="15" spans="1:16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  <c r="H15">
        <f t="shared" si="0"/>
        <v>0</v>
      </c>
    </row>
    <row r="16" spans="1:16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  <c r="H16">
        <f t="shared" si="0"/>
        <v>2</v>
      </c>
    </row>
    <row r="17" spans="1:8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  <c r="H17">
        <f t="shared" si="0"/>
        <v>2</v>
      </c>
    </row>
    <row r="18" spans="1:8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  <c r="H18">
        <f t="shared" si="0"/>
        <v>2</v>
      </c>
    </row>
    <row r="19" spans="1:8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  <c r="H19">
        <f t="shared" si="0"/>
        <v>1</v>
      </c>
    </row>
    <row r="20" spans="1:8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  <c r="H20">
        <f t="shared" si="0"/>
        <v>0</v>
      </c>
    </row>
    <row r="21" spans="1:8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  <c r="H21">
        <f t="shared" si="0"/>
        <v>0</v>
      </c>
    </row>
    <row r="22" spans="1:8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  <c r="H22">
        <f t="shared" si="0"/>
        <v>1</v>
      </c>
    </row>
    <row r="23" spans="1:8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  <c r="H23">
        <f t="shared" si="0"/>
        <v>1</v>
      </c>
    </row>
    <row r="24" spans="1:8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  <c r="H24">
        <f t="shared" si="0"/>
        <v>1</v>
      </c>
    </row>
    <row r="25" spans="1:8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  <c r="H25">
        <f t="shared" si="0"/>
        <v>1</v>
      </c>
    </row>
    <row r="26" spans="1:8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  <c r="H26">
        <f t="shared" si="0"/>
        <v>1</v>
      </c>
    </row>
    <row r="27" spans="1:8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  <c r="H27">
        <f t="shared" si="0"/>
        <v>7</v>
      </c>
    </row>
    <row r="28" spans="1:8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  <c r="H28">
        <f t="shared" si="0"/>
        <v>1</v>
      </c>
    </row>
    <row r="29" spans="1:8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  <c r="H29">
        <f t="shared" si="0"/>
        <v>0</v>
      </c>
    </row>
    <row r="30" spans="1:8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  <c r="H30">
        <f t="shared" si="0"/>
        <v>1</v>
      </c>
    </row>
    <row r="31" spans="1:8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  <c r="H31">
        <f t="shared" si="0"/>
        <v>2</v>
      </c>
    </row>
    <row r="32" spans="1:8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  <c r="H32">
        <f t="shared" si="0"/>
        <v>0</v>
      </c>
    </row>
    <row r="33" spans="1:8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  <c r="H33">
        <f t="shared" si="0"/>
        <v>1</v>
      </c>
    </row>
    <row r="34" spans="1:8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  <c r="H34">
        <f t="shared" si="0"/>
        <v>2</v>
      </c>
    </row>
    <row r="35" spans="1:8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  <c r="H35">
        <f t="shared" si="0"/>
        <v>3</v>
      </c>
    </row>
    <row r="36" spans="1:8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  <c r="H36">
        <f t="shared" si="0"/>
        <v>0</v>
      </c>
    </row>
    <row r="37" spans="1:8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  <c r="H37">
        <f t="shared" si="0"/>
        <v>1</v>
      </c>
    </row>
    <row r="38" spans="1:8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  <c r="H38">
        <f t="shared" si="0"/>
        <v>1</v>
      </c>
    </row>
    <row r="39" spans="1:8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  <c r="H39">
        <f t="shared" si="0"/>
        <v>2</v>
      </c>
    </row>
    <row r="40" spans="1:8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  <c r="H40">
        <f t="shared" si="0"/>
        <v>0</v>
      </c>
    </row>
    <row r="41" spans="1:8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  <c r="H41">
        <f t="shared" si="0"/>
        <v>1</v>
      </c>
    </row>
    <row r="42" spans="1:8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  <c r="H42">
        <f t="shared" si="0"/>
        <v>1</v>
      </c>
    </row>
    <row r="43" spans="1:8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  <c r="H43">
        <f t="shared" si="0"/>
        <v>1</v>
      </c>
    </row>
    <row r="44" spans="1:8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  <c r="H44">
        <f t="shared" si="0"/>
        <v>0</v>
      </c>
    </row>
    <row r="45" spans="1:8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  <c r="H45">
        <f t="shared" si="0"/>
        <v>1</v>
      </c>
    </row>
    <row r="46" spans="1:8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  <c r="H46">
        <f t="shared" si="0"/>
        <v>1</v>
      </c>
    </row>
    <row r="47" spans="1:8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  <c r="H47">
        <f t="shared" si="0"/>
        <v>2</v>
      </c>
    </row>
    <row r="48" spans="1:8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  <c r="H48">
        <f t="shared" si="0"/>
        <v>2</v>
      </c>
    </row>
    <row r="49" spans="1:8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  <c r="H49">
        <f t="shared" si="0"/>
        <v>1</v>
      </c>
    </row>
    <row r="50" spans="1:8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  <c r="H50">
        <f t="shared" si="0"/>
        <v>2</v>
      </c>
    </row>
    <row r="51" spans="1:8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  <c r="H51">
        <f t="shared" si="0"/>
        <v>1</v>
      </c>
    </row>
    <row r="52" spans="1:8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  <c r="H52">
        <f t="shared" si="0"/>
        <v>2</v>
      </c>
    </row>
    <row r="53" spans="1:8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  <c r="H53">
        <f t="shared" si="0"/>
        <v>3</v>
      </c>
    </row>
    <row r="54" spans="1:8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  <c r="H54">
        <f t="shared" si="0"/>
        <v>0</v>
      </c>
    </row>
    <row r="55" spans="1:8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  <c r="H55">
        <f t="shared" si="0"/>
        <v>3</v>
      </c>
    </row>
    <row r="56" spans="1:8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  <c r="H56">
        <f t="shared" si="0"/>
        <v>0</v>
      </c>
    </row>
    <row r="57" spans="1:8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  <c r="H57">
        <f t="shared" si="0"/>
        <v>5</v>
      </c>
    </row>
    <row r="58" spans="1:8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  <c r="H58">
        <f t="shared" si="0"/>
        <v>0</v>
      </c>
    </row>
    <row r="59" spans="1:8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  <c r="H59">
        <f t="shared" si="0"/>
        <v>0</v>
      </c>
    </row>
    <row r="60" spans="1:8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  <c r="H60">
        <f t="shared" si="0"/>
        <v>1</v>
      </c>
    </row>
    <row r="61" spans="1:8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  <c r="H61">
        <f t="shared" si="0"/>
        <v>1</v>
      </c>
    </row>
    <row r="62" spans="1:8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  <c r="H62">
        <f t="shared" si="0"/>
        <v>3</v>
      </c>
    </row>
    <row r="63" spans="1:8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  <c r="H63">
        <f t="shared" si="0"/>
        <v>2</v>
      </c>
    </row>
    <row r="64" spans="1:8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  <c r="H64">
        <f t="shared" si="0"/>
        <v>1</v>
      </c>
    </row>
    <row r="65" spans="1:8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  <c r="H65">
        <f t="shared" si="0"/>
        <v>0</v>
      </c>
    </row>
  </sheetData>
  <mergeCells count="1">
    <mergeCell ref="J1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254F-949C-4AD8-A62D-8FC3E2F1BDE4}">
  <dimension ref="A1:N65"/>
  <sheetViews>
    <sheetView zoomScaleNormal="100" workbookViewId="0">
      <selection activeCell="I1" sqref="I1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5" width="16.453125" bestFit="1" customWidth="1"/>
    <col min="7" max="7" width="15.1796875" bestFit="1" customWidth="1"/>
    <col min="9" max="9" width="11.26953125" bestFit="1" customWidth="1"/>
    <col min="12" max="12" width="12.1796875" bestFit="1" customWidth="1"/>
    <col min="13" max="13" width="20.26953125" customWidth="1"/>
  </cols>
  <sheetData>
    <row r="1" spans="1:14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54</v>
      </c>
      <c r="J1" s="21" t="s">
        <v>72</v>
      </c>
      <c r="K1" s="21"/>
      <c r="L1" s="21"/>
      <c r="M1" s="21"/>
      <c r="N1" s="21"/>
    </row>
    <row r="2" spans="1:14" x14ac:dyDescent="0.35">
      <c r="A2" s="10">
        <v>44885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J2" s="21"/>
      <c r="K2" s="21"/>
      <c r="L2" s="21"/>
      <c r="M2" s="21"/>
      <c r="N2" s="21"/>
    </row>
    <row r="3" spans="1:14" x14ac:dyDescent="0.35">
      <c r="A3" s="10">
        <v>44886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N3" s="9"/>
    </row>
    <row r="4" spans="1:14" x14ac:dyDescent="0.35">
      <c r="A4" s="10">
        <v>44890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</row>
    <row r="5" spans="1:14" x14ac:dyDescent="0.35">
      <c r="A5" s="10">
        <v>44890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</row>
    <row r="6" spans="1:14" x14ac:dyDescent="0.35">
      <c r="A6" s="10">
        <v>44894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</row>
    <row r="7" spans="1:14" x14ac:dyDescent="0.35">
      <c r="A7" s="10">
        <v>44894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</row>
    <row r="8" spans="1:14" x14ac:dyDescent="0.35">
      <c r="A8" s="10">
        <v>44886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</row>
    <row r="9" spans="1:14" x14ac:dyDescent="0.35">
      <c r="A9" s="10">
        <v>44886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</row>
    <row r="10" spans="1:14" x14ac:dyDescent="0.35">
      <c r="A10" s="10">
        <v>44890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</row>
    <row r="11" spans="1:14" x14ac:dyDescent="0.35">
      <c r="A11" s="10">
        <v>44890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</row>
    <row r="12" spans="1:14" x14ac:dyDescent="0.35">
      <c r="A12" s="10">
        <v>44894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</row>
    <row r="13" spans="1:14" x14ac:dyDescent="0.35">
      <c r="A13" s="10">
        <v>44894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</row>
    <row r="14" spans="1:14" x14ac:dyDescent="0.35">
      <c r="A14" s="10">
        <v>44887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</row>
    <row r="15" spans="1:14" x14ac:dyDescent="0.35">
      <c r="A15" s="10">
        <v>44887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</row>
    <row r="16" spans="1:14" x14ac:dyDescent="0.35">
      <c r="A16" s="10">
        <v>44891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</row>
    <row r="17" spans="1:7" x14ac:dyDescent="0.35">
      <c r="A17" s="10">
        <v>44891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</row>
    <row r="18" spans="1:7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x14ac:dyDescent="0.35">
      <c r="A19" s="10">
        <v>44895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</row>
    <row r="20" spans="1:7" x14ac:dyDescent="0.35">
      <c r="A20" s="10">
        <v>44887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</row>
    <row r="21" spans="1:7" x14ac:dyDescent="0.35">
      <c r="A21" s="10">
        <v>44887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</row>
    <row r="22" spans="1:7" x14ac:dyDescent="0.35">
      <c r="A22" s="10">
        <v>44891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</row>
    <row r="23" spans="1:7" x14ac:dyDescent="0.35">
      <c r="A23" s="10">
        <v>44891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</row>
    <row r="24" spans="1:7" x14ac:dyDescent="0.35">
      <c r="A24" s="11">
        <v>44895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</row>
    <row r="25" spans="1:7" x14ac:dyDescent="0.35">
      <c r="A25" s="11">
        <v>44895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</row>
    <row r="26" spans="1:7" x14ac:dyDescent="0.35">
      <c r="A26" s="10">
        <v>44888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</row>
    <row r="27" spans="1:7" x14ac:dyDescent="0.35">
      <c r="A27" s="10">
        <v>44888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</row>
    <row r="28" spans="1:7" x14ac:dyDescent="0.35">
      <c r="A28" s="10">
        <v>44892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</row>
    <row r="29" spans="1:7" x14ac:dyDescent="0.35">
      <c r="A29" s="10">
        <v>44892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</row>
    <row r="30" spans="1:7" x14ac:dyDescent="0.35">
      <c r="A30" s="10">
        <v>44896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</row>
    <row r="31" spans="1:7" x14ac:dyDescent="0.35">
      <c r="A31" s="10">
        <v>44896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</row>
    <row r="32" spans="1:7" x14ac:dyDescent="0.35">
      <c r="A32" s="10">
        <v>44888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</row>
    <row r="33" spans="1:7" x14ac:dyDescent="0.35">
      <c r="A33" s="10">
        <v>44888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</row>
    <row r="34" spans="1:7" x14ac:dyDescent="0.35">
      <c r="A34" s="10">
        <v>44892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</row>
    <row r="35" spans="1:7" x14ac:dyDescent="0.35">
      <c r="A35" s="10">
        <v>44892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</row>
    <row r="36" spans="1:7" x14ac:dyDescent="0.35">
      <c r="A36" s="10">
        <v>44896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</row>
    <row r="37" spans="1:7" x14ac:dyDescent="0.35">
      <c r="A37" s="10">
        <v>44896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</row>
    <row r="38" spans="1:7" x14ac:dyDescent="0.35">
      <c r="A38" s="10">
        <v>44889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</row>
    <row r="39" spans="1:7" x14ac:dyDescent="0.35">
      <c r="A39" s="10">
        <v>44889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</row>
    <row r="40" spans="1:7" x14ac:dyDescent="0.35">
      <c r="A40" s="10">
        <v>44893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</row>
    <row r="41" spans="1:7" x14ac:dyDescent="0.35">
      <c r="A41" s="10">
        <v>44893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</row>
    <row r="42" spans="1:7" x14ac:dyDescent="0.35">
      <c r="A42" s="10">
        <v>44897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</row>
    <row r="43" spans="1:7" x14ac:dyDescent="0.35">
      <c r="A43" s="10">
        <v>44897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</row>
    <row r="44" spans="1:7" x14ac:dyDescent="0.35">
      <c r="A44" s="10">
        <v>44889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</row>
    <row r="45" spans="1:7" x14ac:dyDescent="0.35">
      <c r="A45" s="10">
        <v>44889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</row>
    <row r="46" spans="1:7" x14ac:dyDescent="0.35">
      <c r="A46" s="10">
        <v>44893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</row>
    <row r="47" spans="1:7" x14ac:dyDescent="0.35">
      <c r="A47" s="10">
        <v>44893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</row>
    <row r="48" spans="1:7" x14ac:dyDescent="0.35">
      <c r="A48" s="10">
        <v>44897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</row>
    <row r="49" spans="1:7" x14ac:dyDescent="0.35">
      <c r="A49" s="10">
        <v>44897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</row>
    <row r="50" spans="1:7" x14ac:dyDescent="0.35">
      <c r="A50" s="10">
        <v>44898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</row>
    <row r="51" spans="1:7" x14ac:dyDescent="0.35">
      <c r="A51" s="10">
        <v>44898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</row>
    <row r="52" spans="1:7" x14ac:dyDescent="0.35">
      <c r="A52" s="10">
        <v>44899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</row>
    <row r="53" spans="1:7" x14ac:dyDescent="0.35">
      <c r="A53" s="10">
        <v>44899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</row>
    <row r="54" spans="1:7" x14ac:dyDescent="0.35">
      <c r="A54" s="10">
        <v>44900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</row>
    <row r="55" spans="1:7" x14ac:dyDescent="0.35">
      <c r="A55" s="10">
        <v>44900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</row>
    <row r="56" spans="1:7" x14ac:dyDescent="0.35">
      <c r="A56" s="10">
        <v>44901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</row>
    <row r="57" spans="1:7" x14ac:dyDescent="0.35">
      <c r="A57" s="10">
        <v>44901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</row>
    <row r="58" spans="1:7" x14ac:dyDescent="0.35">
      <c r="A58" s="10">
        <v>44904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</row>
    <row r="59" spans="1:7" x14ac:dyDescent="0.35">
      <c r="A59" s="10">
        <v>44904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</row>
    <row r="60" spans="1:7" x14ac:dyDescent="0.35">
      <c r="A60" s="10">
        <v>44905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</row>
    <row r="61" spans="1:7" x14ac:dyDescent="0.35">
      <c r="A61" s="10">
        <v>44905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</row>
    <row r="62" spans="1:7" x14ac:dyDescent="0.35">
      <c r="A62" s="10">
        <v>44908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</row>
    <row r="63" spans="1:7" x14ac:dyDescent="0.35">
      <c r="A63" s="10">
        <v>44909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</row>
    <row r="64" spans="1:7" x14ac:dyDescent="0.35">
      <c r="A64" s="10">
        <v>44912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</row>
    <row r="65" spans="1:7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mergeCells count="1">
    <mergeCell ref="J1:N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3B5D-E1C1-429E-AEB3-5DC62C697A11}">
  <sheetPr filterMode="1"/>
  <dimension ref="A1:S65"/>
  <sheetViews>
    <sheetView zoomScaleNormal="100" workbookViewId="0">
      <selection activeCell="H39" sqref="H39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5" width="16.453125" bestFit="1" customWidth="1"/>
    <col min="6" max="6" width="10.26953125" customWidth="1"/>
    <col min="7" max="7" width="15.1796875" bestFit="1" customWidth="1"/>
    <col min="9" max="9" width="10.453125" customWidth="1"/>
    <col min="10" max="10" width="127.1796875" customWidth="1"/>
    <col min="15" max="15" width="10.1796875" customWidth="1"/>
    <col min="19" max="19" width="23.1796875" customWidth="1"/>
  </cols>
  <sheetData>
    <row r="1" spans="1:19" ht="15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58</v>
      </c>
      <c r="J1" s="18" t="s">
        <v>65</v>
      </c>
      <c r="K1" s="18"/>
      <c r="L1" s="18"/>
      <c r="M1" s="18"/>
      <c r="N1" s="18"/>
      <c r="O1" s="18"/>
      <c r="P1" s="18"/>
      <c r="Q1" s="18"/>
      <c r="R1" s="18"/>
      <c r="S1" s="18"/>
    </row>
    <row r="2" spans="1:19" ht="15" hidden="1" customHeight="1" x14ac:dyDescent="0.35">
      <c r="A2" s="3">
        <v>44885.791666666664</v>
      </c>
      <c r="B2" s="2" t="s">
        <v>7</v>
      </c>
      <c r="C2" s="2" t="s">
        <v>8</v>
      </c>
      <c r="D2" s="2">
        <v>0</v>
      </c>
      <c r="E2" s="2">
        <v>2</v>
      </c>
      <c r="F2" s="2" t="s">
        <v>9</v>
      </c>
      <c r="G2" s="2">
        <v>67372</v>
      </c>
      <c r="J2" s="14"/>
      <c r="K2" s="14"/>
      <c r="L2" s="14"/>
      <c r="M2" s="14"/>
      <c r="N2" s="14"/>
      <c r="O2" s="14"/>
    </row>
    <row r="3" spans="1:19" ht="15" hidden="1" customHeight="1" x14ac:dyDescent="0.5">
      <c r="A3" s="3">
        <v>44886.791666608799</v>
      </c>
      <c r="B3" s="2" t="s">
        <v>10</v>
      </c>
      <c r="C3" s="2" t="s">
        <v>11</v>
      </c>
      <c r="D3" s="2">
        <v>0</v>
      </c>
      <c r="E3" s="2">
        <v>2</v>
      </c>
      <c r="F3" s="2" t="s">
        <v>17</v>
      </c>
      <c r="G3" s="2">
        <v>41721</v>
      </c>
      <c r="I3" s="12"/>
    </row>
    <row r="4" spans="1:19" hidden="1" x14ac:dyDescent="0.35">
      <c r="A4" s="3">
        <v>44890.666666666664</v>
      </c>
      <c r="B4" s="2" t="s">
        <v>7</v>
      </c>
      <c r="C4" s="2" t="s">
        <v>10</v>
      </c>
      <c r="D4" s="2">
        <v>1</v>
      </c>
      <c r="E4" s="2">
        <v>3</v>
      </c>
      <c r="F4" s="2" t="s">
        <v>17</v>
      </c>
      <c r="G4" s="2">
        <v>41797</v>
      </c>
    </row>
    <row r="5" spans="1:19" hidden="1" x14ac:dyDescent="0.35">
      <c r="A5" s="3">
        <v>44890.791666666664</v>
      </c>
      <c r="B5" s="2" t="s">
        <v>11</v>
      </c>
      <c r="C5" s="2" t="s">
        <v>8</v>
      </c>
      <c r="D5" s="2">
        <v>1</v>
      </c>
      <c r="E5" s="2">
        <v>1</v>
      </c>
      <c r="F5" s="2" t="s">
        <v>12</v>
      </c>
      <c r="G5" s="2">
        <v>44833</v>
      </c>
    </row>
    <row r="6" spans="1:19" hidden="1" x14ac:dyDescent="0.35">
      <c r="A6" s="3">
        <v>44894.75</v>
      </c>
      <c r="B6" s="2" t="s">
        <v>8</v>
      </c>
      <c r="C6" s="2" t="s">
        <v>10</v>
      </c>
      <c r="D6" s="2">
        <v>1</v>
      </c>
      <c r="E6" s="2">
        <v>2</v>
      </c>
      <c r="F6" s="2" t="s">
        <v>12</v>
      </c>
      <c r="G6" s="2">
        <v>44569</v>
      </c>
    </row>
    <row r="7" spans="1:19" ht="15.75" customHeight="1" x14ac:dyDescent="0.5">
      <c r="A7" s="3">
        <v>44894.75</v>
      </c>
      <c r="B7" s="2" t="s">
        <v>11</v>
      </c>
      <c r="C7" s="2" t="s">
        <v>7</v>
      </c>
      <c r="D7" s="2">
        <v>2</v>
      </c>
      <c r="E7" s="2">
        <v>0</v>
      </c>
      <c r="F7" s="2" t="s">
        <v>9</v>
      </c>
      <c r="G7" s="2">
        <v>66784</v>
      </c>
      <c r="I7" s="15"/>
      <c r="J7" s="15"/>
      <c r="K7" s="15"/>
      <c r="L7" s="15"/>
      <c r="M7" s="15"/>
      <c r="N7" s="15"/>
      <c r="O7" s="15"/>
      <c r="P7" s="15"/>
      <c r="Q7" s="15"/>
      <c r="S7" s="16"/>
    </row>
    <row r="8" spans="1:19" ht="15" hidden="1" customHeight="1" x14ac:dyDescent="0.5">
      <c r="A8" s="3">
        <v>44886.666666666664</v>
      </c>
      <c r="B8" s="2" t="s">
        <v>13</v>
      </c>
      <c r="C8" s="2" t="s">
        <v>14</v>
      </c>
      <c r="D8" s="2">
        <v>6</v>
      </c>
      <c r="E8" s="2">
        <v>2</v>
      </c>
      <c r="F8" s="2" t="s">
        <v>12</v>
      </c>
      <c r="G8" s="2">
        <v>45334</v>
      </c>
      <c r="I8" s="15"/>
      <c r="J8" s="15"/>
      <c r="K8" s="15"/>
      <c r="L8" s="15"/>
      <c r="M8" s="15"/>
      <c r="N8" s="15"/>
      <c r="O8" s="15"/>
      <c r="P8" s="15"/>
      <c r="Q8" s="15"/>
      <c r="S8" s="16"/>
    </row>
    <row r="9" spans="1:19" ht="15" hidden="1" customHeight="1" x14ac:dyDescent="0.5">
      <c r="A9" s="3">
        <v>44886.916666666664</v>
      </c>
      <c r="B9" s="2" t="s">
        <v>15</v>
      </c>
      <c r="C9" s="2" t="s">
        <v>16</v>
      </c>
      <c r="D9" s="2">
        <v>1</v>
      </c>
      <c r="E9" s="2">
        <v>1</v>
      </c>
      <c r="F9" s="2" t="s">
        <v>12</v>
      </c>
      <c r="G9" s="2">
        <v>43418</v>
      </c>
      <c r="I9" s="15"/>
      <c r="J9" s="15"/>
      <c r="K9" s="15"/>
      <c r="L9" s="15"/>
      <c r="M9" s="15"/>
      <c r="N9" s="15"/>
      <c r="O9" s="15"/>
      <c r="P9" s="15"/>
      <c r="Q9" s="15"/>
      <c r="S9" s="16"/>
    </row>
    <row r="10" spans="1:19" hidden="1" x14ac:dyDescent="0.35">
      <c r="A10" s="3">
        <v>44890.541666666664</v>
      </c>
      <c r="B10" s="2" t="s">
        <v>16</v>
      </c>
      <c r="C10" s="2" t="s">
        <v>14</v>
      </c>
      <c r="D10" s="2">
        <v>0</v>
      </c>
      <c r="E10" s="2">
        <v>2</v>
      </c>
      <c r="F10" s="2" t="s">
        <v>12</v>
      </c>
      <c r="G10" s="2">
        <v>40875</v>
      </c>
    </row>
    <row r="11" spans="1:19" x14ac:dyDescent="0.35">
      <c r="A11" s="3">
        <v>44890.916666666664</v>
      </c>
      <c r="B11" s="2" t="s">
        <v>13</v>
      </c>
      <c r="C11" s="2" t="s">
        <v>15</v>
      </c>
      <c r="D11" s="2">
        <v>0</v>
      </c>
      <c r="E11" s="2">
        <v>0</v>
      </c>
      <c r="F11" s="2" t="s">
        <v>9</v>
      </c>
      <c r="G11" s="2">
        <v>68463</v>
      </c>
    </row>
    <row r="12" spans="1:19" hidden="1" x14ac:dyDescent="0.35">
      <c r="A12" s="3">
        <v>44894.916666666664</v>
      </c>
      <c r="B12" s="2" t="s">
        <v>16</v>
      </c>
      <c r="C12" s="2" t="s">
        <v>13</v>
      </c>
      <c r="D12" s="2">
        <v>0</v>
      </c>
      <c r="E12" s="2">
        <v>3</v>
      </c>
      <c r="F12" s="2" t="s">
        <v>12</v>
      </c>
      <c r="G12" s="2">
        <v>44297</v>
      </c>
    </row>
    <row r="13" spans="1:19" hidden="1" x14ac:dyDescent="0.35">
      <c r="A13" s="3">
        <v>44894.916666666664</v>
      </c>
      <c r="B13" s="2" t="s">
        <v>14</v>
      </c>
      <c r="C13" s="2" t="s">
        <v>15</v>
      </c>
      <c r="D13" s="2">
        <v>0</v>
      </c>
      <c r="E13" s="2">
        <v>1</v>
      </c>
      <c r="F13" s="2" t="s">
        <v>17</v>
      </c>
      <c r="G13" s="2">
        <v>42127</v>
      </c>
    </row>
    <row r="14" spans="1:19" hidden="1" x14ac:dyDescent="0.35">
      <c r="A14" s="3">
        <v>44887.541666666664</v>
      </c>
      <c r="B14" s="2" t="s">
        <v>18</v>
      </c>
      <c r="C14" s="2" t="s">
        <v>19</v>
      </c>
      <c r="D14" s="2">
        <v>1</v>
      </c>
      <c r="E14" s="2">
        <v>2</v>
      </c>
      <c r="F14" s="2" t="s">
        <v>20</v>
      </c>
      <c r="G14" s="2">
        <v>88012</v>
      </c>
    </row>
    <row r="15" spans="1:19" hidden="1" x14ac:dyDescent="0.35">
      <c r="A15" s="3">
        <v>44887.791666666664</v>
      </c>
      <c r="B15" s="2" t="s">
        <v>21</v>
      </c>
      <c r="C15" s="2" t="s">
        <v>22</v>
      </c>
      <c r="D15" s="2">
        <v>0</v>
      </c>
      <c r="E15" s="2">
        <v>0</v>
      </c>
      <c r="F15" s="2" t="s">
        <v>17</v>
      </c>
      <c r="G15" s="2">
        <v>39369</v>
      </c>
    </row>
    <row r="16" spans="1:19" hidden="1" x14ac:dyDescent="0.35">
      <c r="A16" s="3">
        <v>44891.666666666664</v>
      </c>
      <c r="B16" s="2" t="s">
        <v>22</v>
      </c>
      <c r="C16" s="2" t="s">
        <v>19</v>
      </c>
      <c r="D16" s="2">
        <v>2</v>
      </c>
      <c r="E16" s="2">
        <v>0</v>
      </c>
      <c r="F16" s="2" t="s">
        <v>12</v>
      </c>
      <c r="G16" s="2">
        <v>44259</v>
      </c>
    </row>
    <row r="17" spans="1:7" x14ac:dyDescent="0.35">
      <c r="A17" s="3">
        <v>44891.916666666664</v>
      </c>
      <c r="B17" s="2" t="s">
        <v>18</v>
      </c>
      <c r="C17" s="2" t="s">
        <v>21</v>
      </c>
      <c r="D17" s="2">
        <v>2</v>
      </c>
      <c r="E17" s="2">
        <v>0</v>
      </c>
      <c r="F17" s="2" t="s">
        <v>12</v>
      </c>
      <c r="G17" s="2">
        <v>88966</v>
      </c>
    </row>
    <row r="18" spans="1:7" hidden="1" x14ac:dyDescent="0.35">
      <c r="A18" s="3">
        <v>44895.916666666664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hidden="1" x14ac:dyDescent="0.35">
      <c r="A19" s="3">
        <v>44895.916666666664</v>
      </c>
      <c r="B19" s="2" t="s">
        <v>19</v>
      </c>
      <c r="C19" s="2" t="s">
        <v>21</v>
      </c>
      <c r="D19" s="2">
        <v>1</v>
      </c>
      <c r="E19" s="2">
        <v>2</v>
      </c>
      <c r="F19" s="2" t="s">
        <v>20</v>
      </c>
      <c r="G19" s="2">
        <v>84985</v>
      </c>
    </row>
    <row r="20" spans="1:7" hidden="1" x14ac:dyDescent="0.35">
      <c r="A20" s="3">
        <v>44887.666666666664</v>
      </c>
      <c r="B20" s="2" t="s">
        <v>23</v>
      </c>
      <c r="C20" s="2" t="s">
        <v>24</v>
      </c>
      <c r="D20" s="2">
        <v>0</v>
      </c>
      <c r="E20" s="2">
        <v>0</v>
      </c>
      <c r="F20" s="2" t="s">
        <v>12</v>
      </c>
      <c r="G20" s="2">
        <v>42925</v>
      </c>
    </row>
    <row r="21" spans="1:7" hidden="1" x14ac:dyDescent="0.35">
      <c r="A21" s="3">
        <v>44887.916666666664</v>
      </c>
      <c r="B21" s="2" t="s">
        <v>43</v>
      </c>
      <c r="C21" s="2" t="s">
        <v>25</v>
      </c>
      <c r="D21" s="2">
        <v>4</v>
      </c>
      <c r="E21" s="2">
        <v>4</v>
      </c>
      <c r="F21" s="2" t="s">
        <v>26</v>
      </c>
      <c r="G21" s="2">
        <v>40875</v>
      </c>
    </row>
    <row r="22" spans="1:7" hidden="1" x14ac:dyDescent="0.35">
      <c r="A22" s="3">
        <v>44891.541666666664</v>
      </c>
      <c r="B22" s="2" t="s">
        <v>24</v>
      </c>
      <c r="C22" s="2" t="s">
        <v>25</v>
      </c>
      <c r="D22" s="2">
        <v>0</v>
      </c>
      <c r="E22" s="2">
        <v>1</v>
      </c>
      <c r="F22" s="2" t="s">
        <v>26</v>
      </c>
      <c r="G22" s="2">
        <v>41823</v>
      </c>
    </row>
    <row r="23" spans="1:7" hidden="1" x14ac:dyDescent="0.35">
      <c r="A23" s="3">
        <v>44891.791666666664</v>
      </c>
      <c r="B23" s="2" t="s">
        <v>43</v>
      </c>
      <c r="C23" s="2" t="s">
        <v>23</v>
      </c>
      <c r="D23" s="2">
        <v>2</v>
      </c>
      <c r="E23" s="2">
        <v>1</v>
      </c>
      <c r="F23" s="2" t="s">
        <v>17</v>
      </c>
      <c r="G23" s="2">
        <v>42860</v>
      </c>
    </row>
    <row r="24" spans="1:7" hidden="1" x14ac:dyDescent="0.35">
      <c r="A24" s="6">
        <v>44895.75</v>
      </c>
      <c r="B24" s="7" t="s">
        <v>25</v>
      </c>
      <c r="C24" s="7" t="s">
        <v>23</v>
      </c>
      <c r="D24" s="7">
        <v>1</v>
      </c>
      <c r="E24" s="7">
        <v>0</v>
      </c>
      <c r="F24" s="7" t="s">
        <v>26</v>
      </c>
      <c r="G24" s="7">
        <v>41232</v>
      </c>
    </row>
    <row r="25" spans="1:7" hidden="1" x14ac:dyDescent="0.35">
      <c r="A25" s="6">
        <v>44895.75</v>
      </c>
      <c r="B25" s="7" t="s">
        <v>24</v>
      </c>
      <c r="C25" s="7" t="s">
        <v>43</v>
      </c>
      <c r="D25" s="7">
        <v>1</v>
      </c>
      <c r="E25" s="7">
        <v>0</v>
      </c>
      <c r="F25" s="7" t="s">
        <v>12</v>
      </c>
      <c r="G25" s="7">
        <v>43627</v>
      </c>
    </row>
    <row r="26" spans="1:7" hidden="1" x14ac:dyDescent="0.35">
      <c r="A26" s="3">
        <v>44888.666666666664</v>
      </c>
      <c r="B26" s="7" t="s">
        <v>27</v>
      </c>
      <c r="C26" s="7" t="s">
        <v>28</v>
      </c>
      <c r="D26" s="7">
        <v>1</v>
      </c>
      <c r="E26" s="7">
        <v>2</v>
      </c>
      <c r="F26" s="7" t="s">
        <v>12</v>
      </c>
      <c r="G26" s="7">
        <v>42608</v>
      </c>
    </row>
    <row r="27" spans="1:7" hidden="1" x14ac:dyDescent="0.35">
      <c r="A27" s="3">
        <v>44888.791666666664</v>
      </c>
      <c r="B27" s="7" t="s">
        <v>29</v>
      </c>
      <c r="C27" s="7" t="s">
        <v>30</v>
      </c>
      <c r="D27" s="7">
        <v>7</v>
      </c>
      <c r="E27" s="7">
        <v>0</v>
      </c>
      <c r="F27" s="7" t="s">
        <v>17</v>
      </c>
      <c r="G27" s="7">
        <v>40013</v>
      </c>
    </row>
    <row r="28" spans="1:7" hidden="1" x14ac:dyDescent="0.35">
      <c r="A28" s="3">
        <v>44892.541666666664</v>
      </c>
      <c r="B28" s="7" t="s">
        <v>28</v>
      </c>
      <c r="C28" s="7" t="s">
        <v>30</v>
      </c>
      <c r="D28" s="7">
        <v>0</v>
      </c>
      <c r="E28" s="7">
        <v>1</v>
      </c>
      <c r="F28" s="7" t="s">
        <v>12</v>
      </c>
      <c r="G28" s="7">
        <v>41479</v>
      </c>
    </row>
    <row r="29" spans="1:7" x14ac:dyDescent="0.35">
      <c r="A29" s="3">
        <v>44892.916666666664</v>
      </c>
      <c r="B29" s="7" t="s">
        <v>29</v>
      </c>
      <c r="C29" s="7" t="s">
        <v>27</v>
      </c>
      <c r="D29" s="7">
        <v>1</v>
      </c>
      <c r="E29" s="7">
        <v>1</v>
      </c>
      <c r="F29" s="7" t="s">
        <v>9</v>
      </c>
      <c r="G29" s="7">
        <v>68895</v>
      </c>
    </row>
    <row r="30" spans="1:7" hidden="1" x14ac:dyDescent="0.35">
      <c r="A30" s="3">
        <v>44896.916666666664</v>
      </c>
      <c r="B30" s="7" t="s">
        <v>28</v>
      </c>
      <c r="C30" s="7" t="s">
        <v>29</v>
      </c>
      <c r="D30" s="7">
        <v>2</v>
      </c>
      <c r="E30" s="7">
        <v>1</v>
      </c>
      <c r="F30" s="7" t="s">
        <v>12</v>
      </c>
      <c r="G30" s="7">
        <v>44851</v>
      </c>
    </row>
    <row r="31" spans="1:7" hidden="1" x14ac:dyDescent="0.35">
      <c r="A31" s="3">
        <v>44896.916666666664</v>
      </c>
      <c r="B31" s="7" t="s">
        <v>30</v>
      </c>
      <c r="C31" s="7" t="s">
        <v>27</v>
      </c>
      <c r="D31" s="7">
        <v>2</v>
      </c>
      <c r="E31" s="7">
        <v>4</v>
      </c>
      <c r="F31" s="7" t="s">
        <v>9</v>
      </c>
      <c r="G31" s="7">
        <v>67054</v>
      </c>
    </row>
    <row r="32" spans="1:7" hidden="1" x14ac:dyDescent="0.35">
      <c r="A32" s="3">
        <v>44888.541666666664</v>
      </c>
      <c r="B32" s="7" t="s">
        <v>31</v>
      </c>
      <c r="C32" s="7" t="s">
        <v>32</v>
      </c>
      <c r="D32" s="7">
        <v>0</v>
      </c>
      <c r="E32" s="7">
        <v>0</v>
      </c>
      <c r="F32" s="7" t="s">
        <v>9</v>
      </c>
      <c r="G32" s="7">
        <v>59407</v>
      </c>
    </row>
    <row r="33" spans="1:7" hidden="1" x14ac:dyDescent="0.35">
      <c r="A33" s="3">
        <v>44888.916666666664</v>
      </c>
      <c r="B33" s="7" t="s">
        <v>33</v>
      </c>
      <c r="C33" s="7" t="s">
        <v>34</v>
      </c>
      <c r="D33" s="7">
        <v>1</v>
      </c>
      <c r="E33" s="7">
        <v>0</v>
      </c>
      <c r="F33" s="7" t="s">
        <v>12</v>
      </c>
      <c r="G33" s="7">
        <v>40432</v>
      </c>
    </row>
    <row r="34" spans="1:7" hidden="1" x14ac:dyDescent="0.35">
      <c r="A34" s="3">
        <v>44892.666666666664</v>
      </c>
      <c r="B34" s="7" t="s">
        <v>33</v>
      </c>
      <c r="C34" s="7" t="s">
        <v>31</v>
      </c>
      <c r="D34" s="7">
        <v>0</v>
      </c>
      <c r="E34" s="7">
        <v>2</v>
      </c>
      <c r="F34" s="7" t="s">
        <v>17</v>
      </c>
      <c r="G34" s="7">
        <v>43738</v>
      </c>
    </row>
    <row r="35" spans="1:7" hidden="1" x14ac:dyDescent="0.35">
      <c r="A35" s="3">
        <v>44892.791666666664</v>
      </c>
      <c r="B35" s="7" t="s">
        <v>32</v>
      </c>
      <c r="C35" s="7" t="s">
        <v>34</v>
      </c>
      <c r="D35" s="7">
        <v>4</v>
      </c>
      <c r="E35" s="7">
        <v>1</v>
      </c>
      <c r="F35" s="7" t="s">
        <v>12</v>
      </c>
      <c r="G35" s="7">
        <v>44374</v>
      </c>
    </row>
    <row r="36" spans="1:7" hidden="1" x14ac:dyDescent="0.35">
      <c r="A36" s="3">
        <v>44896.75</v>
      </c>
      <c r="B36" s="7" t="s">
        <v>32</v>
      </c>
      <c r="C36" s="7" t="s">
        <v>33</v>
      </c>
      <c r="D36" s="7">
        <v>0</v>
      </c>
      <c r="E36" s="7">
        <v>0</v>
      </c>
      <c r="F36" s="7" t="s">
        <v>12</v>
      </c>
      <c r="G36" s="7">
        <v>43984</v>
      </c>
    </row>
    <row r="37" spans="1:7" hidden="1" x14ac:dyDescent="0.35">
      <c r="A37" s="3">
        <v>44896.75</v>
      </c>
      <c r="B37" s="7" t="s">
        <v>34</v>
      </c>
      <c r="C37" s="7" t="s">
        <v>31</v>
      </c>
      <c r="D37" s="7">
        <v>1</v>
      </c>
      <c r="E37" s="7">
        <v>2</v>
      </c>
      <c r="F37" s="7" t="s">
        <v>17</v>
      </c>
      <c r="G37" s="7">
        <v>43102</v>
      </c>
    </row>
    <row r="38" spans="1:7" hidden="1" x14ac:dyDescent="0.35">
      <c r="A38" s="3">
        <v>44889.541666666664</v>
      </c>
      <c r="B38" s="7" t="s">
        <v>35</v>
      </c>
      <c r="C38" s="7" t="s">
        <v>36</v>
      </c>
      <c r="D38" s="7">
        <v>1</v>
      </c>
      <c r="E38" s="7">
        <v>0</v>
      </c>
      <c r="F38" s="7" t="s">
        <v>26</v>
      </c>
      <c r="G38" s="7">
        <v>39089</v>
      </c>
    </row>
    <row r="39" spans="1:7" x14ac:dyDescent="0.35">
      <c r="A39" s="3">
        <v>44889.916666666664</v>
      </c>
      <c r="B39" s="7" t="s">
        <v>37</v>
      </c>
      <c r="C39" s="7" t="s">
        <v>38</v>
      </c>
      <c r="D39" s="7">
        <v>2</v>
      </c>
      <c r="E39" s="7">
        <v>0</v>
      </c>
      <c r="F39" s="7" t="s">
        <v>20</v>
      </c>
      <c r="G39" s="7">
        <v>88103</v>
      </c>
    </row>
    <row r="40" spans="1:7" hidden="1" x14ac:dyDescent="0.35">
      <c r="A40" s="3">
        <v>44893.541666666664</v>
      </c>
      <c r="B40" s="7" t="s">
        <v>36</v>
      </c>
      <c r="C40" s="7" t="s">
        <v>38</v>
      </c>
      <c r="D40" s="7">
        <v>3</v>
      </c>
      <c r="E40" s="7">
        <v>3</v>
      </c>
      <c r="F40" s="7" t="s">
        <v>26</v>
      </c>
      <c r="G40" s="7">
        <v>39789</v>
      </c>
    </row>
    <row r="41" spans="1:7" hidden="1" x14ac:dyDescent="0.35">
      <c r="A41" s="3">
        <v>44893.791666666664</v>
      </c>
      <c r="B41" s="7" t="s">
        <v>37</v>
      </c>
      <c r="C41" s="7" t="s">
        <v>35</v>
      </c>
      <c r="D41" s="2">
        <v>1</v>
      </c>
      <c r="E41" s="2">
        <v>0</v>
      </c>
      <c r="F41" s="2" t="s">
        <v>17</v>
      </c>
      <c r="G41" s="2">
        <v>43649</v>
      </c>
    </row>
    <row r="42" spans="1:7" hidden="1" x14ac:dyDescent="0.35">
      <c r="A42" s="3">
        <v>44897.916666666664</v>
      </c>
      <c r="B42" s="7" t="s">
        <v>38</v>
      </c>
      <c r="C42" s="2" t="s">
        <v>35</v>
      </c>
      <c r="D42" s="2">
        <v>2</v>
      </c>
      <c r="E42" s="2">
        <v>3</v>
      </c>
      <c r="F42" s="2" t="s">
        <v>17</v>
      </c>
      <c r="G42" s="2">
        <v>41378</v>
      </c>
    </row>
    <row r="43" spans="1:7" hidden="1" x14ac:dyDescent="0.35">
      <c r="A43" s="3">
        <v>44897.916666666664</v>
      </c>
      <c r="B43" s="7" t="s">
        <v>36</v>
      </c>
      <c r="C43" s="7" t="s">
        <v>37</v>
      </c>
      <c r="D43" s="2">
        <v>1</v>
      </c>
      <c r="E43" s="2">
        <v>0</v>
      </c>
      <c r="F43" s="2" t="s">
        <v>20</v>
      </c>
      <c r="G43" s="2">
        <v>85986</v>
      </c>
    </row>
    <row r="44" spans="1:7" hidden="1" x14ac:dyDescent="0.35">
      <c r="A44" s="3">
        <v>44889.666666666664</v>
      </c>
      <c r="B44" s="2" t="s">
        <v>39</v>
      </c>
      <c r="C44" s="2" t="s">
        <v>40</v>
      </c>
      <c r="D44" s="2">
        <v>0</v>
      </c>
      <c r="E44" s="2">
        <v>0</v>
      </c>
      <c r="F44" s="2" t="s">
        <v>12</v>
      </c>
      <c r="G44" s="2">
        <v>41663</v>
      </c>
    </row>
    <row r="45" spans="1:7" hidden="1" x14ac:dyDescent="0.35">
      <c r="A45" s="3">
        <v>44889.791666666664</v>
      </c>
      <c r="B45" s="2" t="s">
        <v>41</v>
      </c>
      <c r="C45" s="2" t="s">
        <v>42</v>
      </c>
      <c r="D45" s="2">
        <v>3</v>
      </c>
      <c r="E45" s="2">
        <v>2</v>
      </c>
      <c r="F45" s="2" t="s">
        <v>17</v>
      </c>
      <c r="G45" s="2">
        <v>42662</v>
      </c>
    </row>
    <row r="46" spans="1:7" hidden="1" x14ac:dyDescent="0.35">
      <c r="A46" s="3">
        <v>44893.666666666664</v>
      </c>
      <c r="B46" s="2" t="s">
        <v>40</v>
      </c>
      <c r="C46" s="2" t="s">
        <v>42</v>
      </c>
      <c r="D46" s="2">
        <v>2</v>
      </c>
      <c r="E46" s="2">
        <v>3</v>
      </c>
      <c r="F46" s="2" t="s">
        <v>12</v>
      </c>
      <c r="G46" s="2">
        <v>43983</v>
      </c>
    </row>
    <row r="47" spans="1:7" x14ac:dyDescent="0.35">
      <c r="A47" s="3">
        <v>44893.916666666664</v>
      </c>
      <c r="B47" s="2" t="s">
        <v>41</v>
      </c>
      <c r="C47" s="2" t="s">
        <v>39</v>
      </c>
      <c r="D47" s="2">
        <v>2</v>
      </c>
      <c r="E47" s="2">
        <v>0</v>
      </c>
      <c r="F47" s="2" t="s">
        <v>20</v>
      </c>
      <c r="G47" s="2">
        <v>88668</v>
      </c>
    </row>
    <row r="48" spans="1:7" hidden="1" x14ac:dyDescent="0.35">
      <c r="A48" s="3">
        <v>44897.75</v>
      </c>
      <c r="B48" s="2" t="s">
        <v>42</v>
      </c>
      <c r="C48" s="2" t="s">
        <v>39</v>
      </c>
      <c r="D48" s="2">
        <v>0</v>
      </c>
      <c r="E48" s="2">
        <v>2</v>
      </c>
      <c r="F48" s="2" t="s">
        <v>26</v>
      </c>
      <c r="G48" s="2">
        <v>43443</v>
      </c>
    </row>
    <row r="49" spans="1:7" hidden="1" x14ac:dyDescent="0.35">
      <c r="A49" s="3">
        <v>44897.75</v>
      </c>
      <c r="B49" s="2" t="s">
        <v>40</v>
      </c>
      <c r="C49" s="2" t="s">
        <v>41</v>
      </c>
      <c r="D49" s="2">
        <v>2</v>
      </c>
      <c r="E49" s="2">
        <v>1</v>
      </c>
      <c r="F49" s="2" t="s">
        <v>12</v>
      </c>
      <c r="G49" s="2">
        <v>44097</v>
      </c>
    </row>
    <row r="50" spans="1:7" hidden="1" x14ac:dyDescent="0.35">
      <c r="A50" s="3">
        <v>44898.75</v>
      </c>
      <c r="B50" s="2" t="s">
        <v>11</v>
      </c>
      <c r="C50" s="2" t="s">
        <v>15</v>
      </c>
      <c r="D50" s="2">
        <v>3</v>
      </c>
      <c r="E50" s="2">
        <v>1</v>
      </c>
      <c r="F50" s="2" t="s">
        <v>12</v>
      </c>
      <c r="G50" s="2">
        <v>44846</v>
      </c>
    </row>
    <row r="51" spans="1:7" hidden="1" x14ac:dyDescent="0.35">
      <c r="A51" s="3">
        <v>44898.916666666664</v>
      </c>
      <c r="B51" s="2" t="s">
        <v>18</v>
      </c>
      <c r="C51" s="2" t="s">
        <v>25</v>
      </c>
      <c r="D51" s="2">
        <v>2</v>
      </c>
      <c r="E51" s="2">
        <v>1</v>
      </c>
      <c r="F51" s="2" t="s">
        <v>12</v>
      </c>
      <c r="G51" s="2">
        <v>45032</v>
      </c>
    </row>
    <row r="52" spans="1:7" hidden="1" x14ac:dyDescent="0.35">
      <c r="A52" s="3">
        <v>44899.75</v>
      </c>
      <c r="B52" s="2" t="s">
        <v>43</v>
      </c>
      <c r="C52" s="2" t="s">
        <v>22</v>
      </c>
      <c r="D52" s="2">
        <v>3</v>
      </c>
      <c r="E52" s="2">
        <v>1</v>
      </c>
      <c r="F52" s="2" t="s">
        <v>17</v>
      </c>
      <c r="G52" s="2">
        <v>40989</v>
      </c>
    </row>
    <row r="53" spans="1:7" hidden="1" x14ac:dyDescent="0.35">
      <c r="A53" s="3">
        <v>44899.916666666664</v>
      </c>
      <c r="B53" s="2" t="s">
        <v>13</v>
      </c>
      <c r="C53" s="2" t="s">
        <v>10</v>
      </c>
      <c r="D53" s="2">
        <v>3</v>
      </c>
      <c r="E53" s="2">
        <v>0</v>
      </c>
      <c r="F53" s="2" t="s">
        <v>9</v>
      </c>
      <c r="G53" s="2">
        <v>65985</v>
      </c>
    </row>
    <row r="54" spans="1:7" hidden="1" x14ac:dyDescent="0.35">
      <c r="A54" s="3">
        <v>44900.75</v>
      </c>
      <c r="B54" s="2" t="s">
        <v>28</v>
      </c>
      <c r="C54" s="2" t="s">
        <v>32</v>
      </c>
      <c r="D54" s="2">
        <v>1</v>
      </c>
      <c r="E54" s="2">
        <v>1</v>
      </c>
      <c r="F54" s="2" t="s">
        <v>26</v>
      </c>
      <c r="G54" s="2">
        <v>42523</v>
      </c>
    </row>
    <row r="55" spans="1:7" hidden="1" x14ac:dyDescent="0.35">
      <c r="A55" s="3">
        <v>44900.916666666664</v>
      </c>
      <c r="B55" s="2" t="s">
        <v>37</v>
      </c>
      <c r="C55" s="2" t="s">
        <v>40</v>
      </c>
      <c r="D55" s="2">
        <v>4</v>
      </c>
      <c r="E55" s="2">
        <v>1</v>
      </c>
      <c r="F55" s="2" t="s">
        <v>17</v>
      </c>
      <c r="G55" s="2">
        <v>43847</v>
      </c>
    </row>
    <row r="56" spans="1:7" hidden="1" x14ac:dyDescent="0.35">
      <c r="A56" s="3">
        <v>44901.75</v>
      </c>
      <c r="B56" s="2" t="s">
        <v>31</v>
      </c>
      <c r="C56" s="2" t="s">
        <v>29</v>
      </c>
      <c r="D56" s="2">
        <v>0</v>
      </c>
      <c r="E56" s="2">
        <v>0</v>
      </c>
      <c r="F56" s="2" t="s">
        <v>12</v>
      </c>
      <c r="G56" s="2">
        <v>44667</v>
      </c>
    </row>
    <row r="57" spans="1:7" hidden="1" x14ac:dyDescent="0.35">
      <c r="A57" s="3">
        <v>44901.916666666664</v>
      </c>
      <c r="B57" s="2" t="s">
        <v>41</v>
      </c>
      <c r="C57" s="2" t="s">
        <v>35</v>
      </c>
      <c r="D57" s="2">
        <v>6</v>
      </c>
      <c r="E57" s="2">
        <v>1</v>
      </c>
      <c r="F57" s="2" t="s">
        <v>20</v>
      </c>
      <c r="G57" s="2">
        <v>83720</v>
      </c>
    </row>
    <row r="58" spans="1:7" hidden="1" x14ac:dyDescent="0.35">
      <c r="A58" s="3">
        <v>44904.75</v>
      </c>
      <c r="B58" s="2" t="s">
        <v>32</v>
      </c>
      <c r="C58" s="2" t="s">
        <v>37</v>
      </c>
      <c r="D58" s="2">
        <v>1</v>
      </c>
      <c r="E58" s="2">
        <v>1</v>
      </c>
      <c r="F58" s="2" t="s">
        <v>12</v>
      </c>
      <c r="G58" s="2">
        <v>43893</v>
      </c>
    </row>
    <row r="59" spans="1:7" hidden="1" x14ac:dyDescent="0.35">
      <c r="A59" s="3">
        <v>44904.916666666664</v>
      </c>
      <c r="B59" s="2" t="s">
        <v>11</v>
      </c>
      <c r="C59" s="2" t="s">
        <v>18</v>
      </c>
      <c r="D59" s="2">
        <v>2</v>
      </c>
      <c r="E59" s="2">
        <v>2</v>
      </c>
      <c r="F59" s="2" t="s">
        <v>20</v>
      </c>
      <c r="G59" s="2">
        <v>88235</v>
      </c>
    </row>
    <row r="60" spans="1:7" hidden="1" x14ac:dyDescent="0.35">
      <c r="A60" s="3">
        <v>44905.75</v>
      </c>
      <c r="B60" s="2" t="s">
        <v>31</v>
      </c>
      <c r="C60" s="2" t="s">
        <v>41</v>
      </c>
      <c r="D60" s="2">
        <v>1</v>
      </c>
      <c r="E60" s="2">
        <v>0</v>
      </c>
      <c r="F60" s="2" t="s">
        <v>17</v>
      </c>
      <c r="G60" s="2">
        <v>44198</v>
      </c>
    </row>
    <row r="61" spans="1:7" hidden="1" x14ac:dyDescent="0.35">
      <c r="A61" s="3">
        <v>44905.916666666664</v>
      </c>
      <c r="B61" s="2" t="s">
        <v>13</v>
      </c>
      <c r="C61" s="2" t="s">
        <v>43</v>
      </c>
      <c r="D61" s="2">
        <v>1</v>
      </c>
      <c r="E61" s="2">
        <v>2</v>
      </c>
      <c r="F61" s="2" t="s">
        <v>9</v>
      </c>
      <c r="G61" s="2">
        <v>68895</v>
      </c>
    </row>
    <row r="62" spans="1:7" hidden="1" x14ac:dyDescent="0.35">
      <c r="A62" s="3">
        <v>44908.916666666664</v>
      </c>
      <c r="B62" s="2" t="s">
        <v>18</v>
      </c>
      <c r="C62" s="2" t="s">
        <v>32</v>
      </c>
      <c r="D62" s="2">
        <v>3</v>
      </c>
      <c r="E62" s="2">
        <v>0</v>
      </c>
      <c r="F62" s="2" t="s">
        <v>20</v>
      </c>
      <c r="G62" s="2">
        <v>88966</v>
      </c>
    </row>
    <row r="63" spans="1:7" hidden="1" x14ac:dyDescent="0.35">
      <c r="A63" s="3">
        <v>44909.916666666664</v>
      </c>
      <c r="B63" s="2" t="s">
        <v>43</v>
      </c>
      <c r="C63" s="2" t="s">
        <v>31</v>
      </c>
      <c r="D63" s="2">
        <v>2</v>
      </c>
      <c r="E63" s="2">
        <v>0</v>
      </c>
      <c r="F63" s="2" t="s">
        <v>9</v>
      </c>
      <c r="G63" s="2">
        <v>68294</v>
      </c>
    </row>
    <row r="64" spans="1:7" hidden="1" x14ac:dyDescent="0.35">
      <c r="A64" s="3">
        <v>44912.75</v>
      </c>
      <c r="B64" s="2" t="s">
        <v>32</v>
      </c>
      <c r="C64" s="2" t="s">
        <v>31</v>
      </c>
      <c r="D64" s="2">
        <v>2</v>
      </c>
      <c r="E64" s="2">
        <v>1</v>
      </c>
      <c r="F64" s="2" t="s">
        <v>12</v>
      </c>
      <c r="G64" s="2">
        <v>44137</v>
      </c>
    </row>
    <row r="65" spans="1:7" hidden="1" x14ac:dyDescent="0.35">
      <c r="A65" s="3">
        <v>44913.75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autoFilter ref="A1:G65" xr:uid="{0ED73B5D-E1C1-429E-AEB3-5DC62C697A11}">
    <filterColumn colId="0">
      <customFilters and="1">
        <customFilter operator="greaterThanOrEqual" val="44889"/>
        <customFilter operator="lessThanOrEqual" val="44895"/>
      </customFilters>
    </filterColumn>
    <filterColumn colId="6">
      <customFilters>
        <customFilter operator="greaterThanOrEqual" val="50000"/>
      </custom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EAA9-2572-4F3E-B6A6-E306CD853769}">
  <dimension ref="A1:Q65"/>
  <sheetViews>
    <sheetView zoomScaleNormal="100" workbookViewId="0">
      <selection activeCell="I40" sqref="I40"/>
    </sheetView>
  </sheetViews>
  <sheetFormatPr defaultRowHeight="14.5" x14ac:dyDescent="0.35"/>
  <cols>
    <col min="1" max="1" width="20.7265625" bestFit="1" customWidth="1"/>
    <col min="2" max="2" width="13.1796875" customWidth="1"/>
    <col min="3" max="3" width="13.26953125" bestFit="1" customWidth="1"/>
    <col min="4" max="5" width="16.453125" bestFit="1" customWidth="1"/>
    <col min="6" max="6" width="13.7265625" customWidth="1"/>
    <col min="7" max="7" width="15.1796875" bestFit="1" customWidth="1"/>
    <col min="9" max="9" width="10.81640625" customWidth="1"/>
  </cols>
  <sheetData>
    <row r="1" spans="1:17" ht="15" customHeight="1" x14ac:dyDescent="0.35">
      <c r="A1" s="4" t="s">
        <v>46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8" t="s">
        <v>63</v>
      </c>
      <c r="J1" s="20" t="s">
        <v>73</v>
      </c>
      <c r="K1" s="20"/>
      <c r="L1" s="20"/>
      <c r="M1" s="20"/>
      <c r="N1" s="20"/>
      <c r="O1" s="20"/>
      <c r="P1" s="20"/>
    </row>
    <row r="2" spans="1:17" x14ac:dyDescent="0.35">
      <c r="A2" s="10">
        <v>44891</v>
      </c>
      <c r="B2" s="2" t="s">
        <v>18</v>
      </c>
      <c r="C2" s="2" t="s">
        <v>21</v>
      </c>
      <c r="D2" s="2">
        <v>2</v>
      </c>
      <c r="E2" s="2">
        <v>0</v>
      </c>
      <c r="F2" s="2" t="s">
        <v>12</v>
      </c>
      <c r="G2" s="2">
        <v>88966</v>
      </c>
      <c r="J2" s="20"/>
      <c r="K2" s="20"/>
      <c r="L2" s="20"/>
      <c r="M2" s="20"/>
      <c r="N2" s="20"/>
      <c r="O2" s="20"/>
      <c r="P2" s="20"/>
    </row>
    <row r="3" spans="1:17" ht="15.75" customHeight="1" x14ac:dyDescent="0.5">
      <c r="A3" s="10">
        <v>44893</v>
      </c>
      <c r="B3" s="2" t="s">
        <v>41</v>
      </c>
      <c r="C3" s="2" t="s">
        <v>39</v>
      </c>
      <c r="D3" s="2">
        <v>2</v>
      </c>
      <c r="E3" s="2">
        <v>0</v>
      </c>
      <c r="F3" s="2" t="s">
        <v>20</v>
      </c>
      <c r="G3" s="2">
        <v>88668</v>
      </c>
      <c r="I3" s="12"/>
      <c r="J3" s="20"/>
      <c r="K3" s="20"/>
      <c r="L3" s="20"/>
      <c r="M3" s="20"/>
      <c r="N3" s="20"/>
      <c r="O3" s="20"/>
      <c r="P3" s="20"/>
    </row>
    <row r="4" spans="1:17" ht="15" customHeight="1" x14ac:dyDescent="0.45">
      <c r="A4" s="10">
        <v>44889</v>
      </c>
      <c r="B4" s="7" t="s">
        <v>37</v>
      </c>
      <c r="C4" s="7" t="s">
        <v>38</v>
      </c>
      <c r="D4" s="7">
        <v>2</v>
      </c>
      <c r="E4" s="7">
        <v>0</v>
      </c>
      <c r="F4" s="7" t="s">
        <v>20</v>
      </c>
      <c r="G4" s="7">
        <v>88103</v>
      </c>
      <c r="I4" s="17"/>
      <c r="J4" s="20"/>
      <c r="K4" s="20"/>
      <c r="L4" s="20"/>
      <c r="M4" s="20"/>
      <c r="N4" s="20"/>
      <c r="O4" s="20"/>
      <c r="P4" s="20"/>
    </row>
    <row r="5" spans="1:17" ht="15" customHeight="1" x14ac:dyDescent="0.45">
      <c r="A5" s="10">
        <v>44887</v>
      </c>
      <c r="B5" s="2" t="s">
        <v>18</v>
      </c>
      <c r="C5" s="2" t="s">
        <v>19</v>
      </c>
      <c r="D5" s="2">
        <v>1</v>
      </c>
      <c r="E5" s="2">
        <v>2</v>
      </c>
      <c r="F5" s="2" t="s">
        <v>20</v>
      </c>
      <c r="G5" s="2">
        <v>88012</v>
      </c>
      <c r="I5" s="17"/>
      <c r="J5" s="17"/>
      <c r="K5" s="17"/>
      <c r="L5" s="17"/>
      <c r="M5" s="17"/>
      <c r="N5" s="17"/>
      <c r="O5" s="17"/>
      <c r="P5" s="17"/>
      <c r="Q5" s="16"/>
    </row>
    <row r="6" spans="1:17" ht="15" customHeight="1" x14ac:dyDescent="0.45">
      <c r="A6" s="10">
        <v>44895</v>
      </c>
      <c r="B6" s="2" t="s">
        <v>19</v>
      </c>
      <c r="C6" s="2" t="s">
        <v>21</v>
      </c>
      <c r="D6" s="2">
        <v>1</v>
      </c>
      <c r="E6" s="2">
        <v>2</v>
      </c>
      <c r="F6" s="2" t="s">
        <v>20</v>
      </c>
      <c r="G6" s="2">
        <v>84985</v>
      </c>
      <c r="I6" s="17"/>
      <c r="J6" s="17"/>
      <c r="K6" s="17"/>
      <c r="L6" s="17"/>
      <c r="M6" s="17"/>
      <c r="N6" s="17"/>
      <c r="O6" s="17"/>
      <c r="P6" s="17"/>
      <c r="Q6" s="16"/>
    </row>
    <row r="7" spans="1:17" ht="15" customHeight="1" x14ac:dyDescent="0.45">
      <c r="A7" s="10">
        <v>44892</v>
      </c>
      <c r="B7" s="7" t="s">
        <v>29</v>
      </c>
      <c r="C7" s="7" t="s">
        <v>27</v>
      </c>
      <c r="D7" s="7">
        <v>1</v>
      </c>
      <c r="E7" s="7">
        <v>1</v>
      </c>
      <c r="F7" s="7" t="s">
        <v>9</v>
      </c>
      <c r="G7" s="7">
        <v>68895</v>
      </c>
      <c r="I7" s="17"/>
      <c r="J7" s="17"/>
      <c r="K7" s="17"/>
      <c r="L7" s="17"/>
      <c r="M7" s="17"/>
      <c r="N7" s="17"/>
      <c r="O7" s="17"/>
      <c r="P7" s="17"/>
      <c r="Q7" s="16"/>
    </row>
    <row r="8" spans="1:17" ht="15" customHeight="1" x14ac:dyDescent="0.45">
      <c r="A8" s="10">
        <v>44890</v>
      </c>
      <c r="B8" s="2" t="s">
        <v>13</v>
      </c>
      <c r="C8" s="2" t="s">
        <v>15</v>
      </c>
      <c r="D8" s="2">
        <v>0</v>
      </c>
      <c r="E8" s="2">
        <v>0</v>
      </c>
      <c r="F8" s="2" t="s">
        <v>9</v>
      </c>
      <c r="G8" s="2">
        <v>68463</v>
      </c>
      <c r="I8" s="17"/>
      <c r="J8" s="17"/>
      <c r="K8" s="17"/>
      <c r="L8" s="17"/>
      <c r="M8" s="17"/>
      <c r="N8" s="17"/>
      <c r="O8" s="17"/>
      <c r="P8" s="17"/>
    </row>
    <row r="9" spans="1:17" x14ac:dyDescent="0.35">
      <c r="A9" s="10">
        <v>44885</v>
      </c>
      <c r="B9" s="2" t="s">
        <v>7</v>
      </c>
      <c r="C9" s="2" t="s">
        <v>8</v>
      </c>
      <c r="D9" s="2">
        <v>0</v>
      </c>
      <c r="E9" s="2">
        <v>2</v>
      </c>
      <c r="F9" s="2" t="s">
        <v>9</v>
      </c>
      <c r="G9" s="2">
        <v>67372</v>
      </c>
    </row>
    <row r="10" spans="1:17" x14ac:dyDescent="0.35">
      <c r="A10" s="10">
        <v>44894</v>
      </c>
      <c r="B10" s="2" t="s">
        <v>11</v>
      </c>
      <c r="C10" s="2" t="s">
        <v>7</v>
      </c>
      <c r="D10" s="2">
        <v>2</v>
      </c>
      <c r="E10" s="2">
        <v>0</v>
      </c>
      <c r="F10" s="2" t="s">
        <v>9</v>
      </c>
      <c r="G10" s="2">
        <v>66784</v>
      </c>
    </row>
    <row r="11" spans="1:17" x14ac:dyDescent="0.35">
      <c r="A11" s="10">
        <v>44888</v>
      </c>
      <c r="B11" s="7" t="s">
        <v>31</v>
      </c>
      <c r="C11" s="7" t="s">
        <v>32</v>
      </c>
      <c r="D11" s="7">
        <v>0</v>
      </c>
      <c r="E11" s="7">
        <v>0</v>
      </c>
      <c r="F11" s="7" t="s">
        <v>9</v>
      </c>
      <c r="G11" s="7">
        <v>59407</v>
      </c>
    </row>
    <row r="12" spans="1:17" x14ac:dyDescent="0.35">
      <c r="A12" s="10">
        <v>44886</v>
      </c>
      <c r="B12" s="2" t="s">
        <v>13</v>
      </c>
      <c r="C12" s="2" t="s">
        <v>14</v>
      </c>
      <c r="D12" s="2">
        <v>6</v>
      </c>
      <c r="E12" s="2">
        <v>2</v>
      </c>
      <c r="F12" s="2" t="s">
        <v>12</v>
      </c>
      <c r="G12" s="2">
        <v>45334</v>
      </c>
    </row>
    <row r="13" spans="1:17" x14ac:dyDescent="0.35">
      <c r="A13" s="10">
        <v>44890</v>
      </c>
      <c r="B13" s="2" t="s">
        <v>11</v>
      </c>
      <c r="C13" s="2" t="s">
        <v>8</v>
      </c>
      <c r="D13" s="2">
        <v>1</v>
      </c>
      <c r="E13" s="2">
        <v>1</v>
      </c>
      <c r="F13" s="2" t="s">
        <v>12</v>
      </c>
      <c r="G13" s="2">
        <v>44833</v>
      </c>
    </row>
    <row r="14" spans="1:17" x14ac:dyDescent="0.35">
      <c r="A14" s="10">
        <v>44894</v>
      </c>
      <c r="B14" s="2" t="s">
        <v>8</v>
      </c>
      <c r="C14" s="2" t="s">
        <v>10</v>
      </c>
      <c r="D14" s="2">
        <v>1</v>
      </c>
      <c r="E14" s="2">
        <v>2</v>
      </c>
      <c r="F14" s="2" t="s">
        <v>12</v>
      </c>
      <c r="G14" s="2">
        <v>44569</v>
      </c>
    </row>
    <row r="15" spans="1:17" x14ac:dyDescent="0.35">
      <c r="A15" s="10">
        <v>44892</v>
      </c>
      <c r="B15" s="7" t="s">
        <v>32</v>
      </c>
      <c r="C15" s="7" t="s">
        <v>34</v>
      </c>
      <c r="D15" s="7">
        <v>4</v>
      </c>
      <c r="E15" s="7">
        <v>1</v>
      </c>
      <c r="F15" s="7" t="s">
        <v>12</v>
      </c>
      <c r="G15" s="7">
        <v>44374</v>
      </c>
    </row>
    <row r="16" spans="1:17" x14ac:dyDescent="0.35">
      <c r="A16" s="10">
        <v>44894</v>
      </c>
      <c r="B16" s="2" t="s">
        <v>16</v>
      </c>
      <c r="C16" s="2" t="s">
        <v>13</v>
      </c>
      <c r="D16" s="2">
        <v>0</v>
      </c>
      <c r="E16" s="2">
        <v>3</v>
      </c>
      <c r="F16" s="2" t="s">
        <v>12</v>
      </c>
      <c r="G16" s="2">
        <v>44297</v>
      </c>
    </row>
    <row r="17" spans="1:7" x14ac:dyDescent="0.35">
      <c r="A17" s="10">
        <v>44891</v>
      </c>
      <c r="B17" s="2" t="s">
        <v>22</v>
      </c>
      <c r="C17" s="2" t="s">
        <v>19</v>
      </c>
      <c r="D17" s="2">
        <v>2</v>
      </c>
      <c r="E17" s="2">
        <v>0</v>
      </c>
      <c r="F17" s="2" t="s">
        <v>12</v>
      </c>
      <c r="G17" s="2">
        <v>44259</v>
      </c>
    </row>
    <row r="18" spans="1:7" x14ac:dyDescent="0.35">
      <c r="A18" s="10">
        <v>44895</v>
      </c>
      <c r="B18" s="2" t="s">
        <v>22</v>
      </c>
      <c r="C18" s="2" t="s">
        <v>18</v>
      </c>
      <c r="D18" s="2">
        <v>0</v>
      </c>
      <c r="E18" s="2">
        <v>2</v>
      </c>
      <c r="F18" s="2" t="s">
        <v>17</v>
      </c>
      <c r="G18" s="2">
        <v>44089</v>
      </c>
    </row>
    <row r="19" spans="1:7" x14ac:dyDescent="0.35">
      <c r="A19" s="10">
        <v>44893</v>
      </c>
      <c r="B19" s="2" t="s">
        <v>40</v>
      </c>
      <c r="C19" s="2" t="s">
        <v>42</v>
      </c>
      <c r="D19" s="2">
        <v>2</v>
      </c>
      <c r="E19" s="2">
        <v>3</v>
      </c>
      <c r="F19" s="2" t="s">
        <v>12</v>
      </c>
      <c r="G19" s="2">
        <v>43983</v>
      </c>
    </row>
    <row r="20" spans="1:7" x14ac:dyDescent="0.35">
      <c r="A20" s="10">
        <v>44892</v>
      </c>
      <c r="B20" s="7" t="s">
        <v>33</v>
      </c>
      <c r="C20" s="7" t="s">
        <v>31</v>
      </c>
      <c r="D20" s="7">
        <v>0</v>
      </c>
      <c r="E20" s="7">
        <v>2</v>
      </c>
      <c r="F20" s="7" t="s">
        <v>17</v>
      </c>
      <c r="G20" s="7">
        <v>43738</v>
      </c>
    </row>
    <row r="21" spans="1:7" x14ac:dyDescent="0.35">
      <c r="A21" s="10">
        <v>44893</v>
      </c>
      <c r="B21" s="7" t="s">
        <v>37</v>
      </c>
      <c r="C21" s="7" t="s">
        <v>35</v>
      </c>
      <c r="D21" s="2">
        <v>1</v>
      </c>
      <c r="E21" s="2">
        <v>0</v>
      </c>
      <c r="F21" s="2" t="s">
        <v>17</v>
      </c>
      <c r="G21" s="2">
        <v>43649</v>
      </c>
    </row>
    <row r="22" spans="1:7" x14ac:dyDescent="0.35">
      <c r="A22" s="11">
        <v>44895</v>
      </c>
      <c r="B22" s="7" t="s">
        <v>24</v>
      </c>
      <c r="C22" s="7" t="s">
        <v>43</v>
      </c>
      <c r="D22" s="7">
        <v>1</v>
      </c>
      <c r="E22" s="7">
        <v>0</v>
      </c>
      <c r="F22" s="7" t="s">
        <v>12</v>
      </c>
      <c r="G22" s="7">
        <v>43627</v>
      </c>
    </row>
    <row r="23" spans="1:7" x14ac:dyDescent="0.35">
      <c r="A23" s="10">
        <v>44886</v>
      </c>
      <c r="B23" s="2" t="s">
        <v>15</v>
      </c>
      <c r="C23" s="2" t="s">
        <v>16</v>
      </c>
      <c r="D23" s="2">
        <v>1</v>
      </c>
      <c r="E23" s="2">
        <v>1</v>
      </c>
      <c r="F23" s="2" t="s">
        <v>12</v>
      </c>
      <c r="G23" s="2">
        <v>43418</v>
      </c>
    </row>
    <row r="24" spans="1:7" x14ac:dyDescent="0.35">
      <c r="A24" s="10">
        <v>44887</v>
      </c>
      <c r="B24" s="2" t="s">
        <v>23</v>
      </c>
      <c r="C24" s="2" t="s">
        <v>24</v>
      </c>
      <c r="D24" s="2">
        <v>0</v>
      </c>
      <c r="E24" s="2">
        <v>0</v>
      </c>
      <c r="F24" s="2" t="s">
        <v>12</v>
      </c>
      <c r="G24" s="2">
        <v>42925</v>
      </c>
    </row>
    <row r="25" spans="1:7" x14ac:dyDescent="0.35">
      <c r="A25" s="10">
        <v>44891</v>
      </c>
      <c r="B25" s="2" t="s">
        <v>43</v>
      </c>
      <c r="C25" s="2" t="s">
        <v>23</v>
      </c>
      <c r="D25" s="2">
        <v>2</v>
      </c>
      <c r="E25" s="2">
        <v>1</v>
      </c>
      <c r="F25" s="2" t="s">
        <v>17</v>
      </c>
      <c r="G25" s="2">
        <v>42860</v>
      </c>
    </row>
    <row r="26" spans="1:7" x14ac:dyDescent="0.35">
      <c r="A26" s="10">
        <v>44889</v>
      </c>
      <c r="B26" s="2" t="s">
        <v>41</v>
      </c>
      <c r="C26" s="2" t="s">
        <v>42</v>
      </c>
      <c r="D26" s="2">
        <v>3</v>
      </c>
      <c r="E26" s="2">
        <v>2</v>
      </c>
      <c r="F26" s="2" t="s">
        <v>17</v>
      </c>
      <c r="G26" s="2">
        <v>42662</v>
      </c>
    </row>
    <row r="27" spans="1:7" x14ac:dyDescent="0.35">
      <c r="A27" s="10">
        <v>44888</v>
      </c>
      <c r="B27" s="7" t="s">
        <v>27</v>
      </c>
      <c r="C27" s="7" t="s">
        <v>28</v>
      </c>
      <c r="D27" s="7">
        <v>1</v>
      </c>
      <c r="E27" s="7">
        <v>2</v>
      </c>
      <c r="F27" s="7" t="s">
        <v>12</v>
      </c>
      <c r="G27" s="7">
        <v>42608</v>
      </c>
    </row>
    <row r="28" spans="1:7" x14ac:dyDescent="0.35">
      <c r="A28" s="10">
        <v>44894</v>
      </c>
      <c r="B28" s="2" t="s">
        <v>14</v>
      </c>
      <c r="C28" s="2" t="s">
        <v>15</v>
      </c>
      <c r="D28" s="2">
        <v>0</v>
      </c>
      <c r="E28" s="2">
        <v>1</v>
      </c>
      <c r="F28" s="2" t="s">
        <v>17</v>
      </c>
      <c r="G28" s="2">
        <v>42127</v>
      </c>
    </row>
    <row r="29" spans="1:7" x14ac:dyDescent="0.35">
      <c r="A29" s="10">
        <v>44891</v>
      </c>
      <c r="B29" s="2" t="s">
        <v>24</v>
      </c>
      <c r="C29" s="2" t="s">
        <v>25</v>
      </c>
      <c r="D29" s="2">
        <v>0</v>
      </c>
      <c r="E29" s="2">
        <v>1</v>
      </c>
      <c r="F29" s="2" t="s">
        <v>26</v>
      </c>
      <c r="G29" s="2">
        <v>41823</v>
      </c>
    </row>
    <row r="30" spans="1:7" x14ac:dyDescent="0.35">
      <c r="A30" s="10">
        <v>44890</v>
      </c>
      <c r="B30" s="2" t="s">
        <v>7</v>
      </c>
      <c r="C30" s="2" t="s">
        <v>10</v>
      </c>
      <c r="D30" s="2">
        <v>1</v>
      </c>
      <c r="E30" s="2">
        <v>3</v>
      </c>
      <c r="F30" s="2" t="s">
        <v>17</v>
      </c>
      <c r="G30" s="2">
        <v>41797</v>
      </c>
    </row>
    <row r="31" spans="1:7" x14ac:dyDescent="0.35">
      <c r="A31" s="10">
        <v>44886</v>
      </c>
      <c r="B31" s="2" t="s">
        <v>10</v>
      </c>
      <c r="C31" s="2" t="s">
        <v>11</v>
      </c>
      <c r="D31" s="2">
        <v>0</v>
      </c>
      <c r="E31" s="2">
        <v>2</v>
      </c>
      <c r="F31" s="2" t="s">
        <v>17</v>
      </c>
      <c r="G31" s="2">
        <v>41721</v>
      </c>
    </row>
    <row r="32" spans="1:7" x14ac:dyDescent="0.35">
      <c r="A32" s="10">
        <v>44889</v>
      </c>
      <c r="B32" s="2" t="s">
        <v>39</v>
      </c>
      <c r="C32" s="2" t="s">
        <v>40</v>
      </c>
      <c r="D32" s="2">
        <v>0</v>
      </c>
      <c r="E32" s="2">
        <v>0</v>
      </c>
      <c r="F32" s="2" t="s">
        <v>12</v>
      </c>
      <c r="G32" s="2">
        <v>41663</v>
      </c>
    </row>
    <row r="33" spans="1:7" x14ac:dyDescent="0.35">
      <c r="A33" s="10">
        <v>44892</v>
      </c>
      <c r="B33" s="7" t="s">
        <v>28</v>
      </c>
      <c r="C33" s="7" t="s">
        <v>30</v>
      </c>
      <c r="D33" s="7">
        <v>0</v>
      </c>
      <c r="E33" s="7">
        <v>1</v>
      </c>
      <c r="F33" s="7" t="s">
        <v>12</v>
      </c>
      <c r="G33" s="7">
        <v>41479</v>
      </c>
    </row>
    <row r="34" spans="1:7" x14ac:dyDescent="0.35">
      <c r="A34" s="11">
        <v>44895</v>
      </c>
      <c r="B34" s="7" t="s">
        <v>25</v>
      </c>
      <c r="C34" s="7" t="s">
        <v>23</v>
      </c>
      <c r="D34" s="7">
        <v>1</v>
      </c>
      <c r="E34" s="7">
        <v>0</v>
      </c>
      <c r="F34" s="7" t="s">
        <v>26</v>
      </c>
      <c r="G34" s="7">
        <v>41232</v>
      </c>
    </row>
    <row r="35" spans="1:7" x14ac:dyDescent="0.35">
      <c r="A35" s="10">
        <v>44887</v>
      </c>
      <c r="B35" s="2" t="s">
        <v>43</v>
      </c>
      <c r="C35" s="2" t="s">
        <v>25</v>
      </c>
      <c r="D35" s="2">
        <v>4</v>
      </c>
      <c r="E35" s="2">
        <v>4</v>
      </c>
      <c r="F35" s="2" t="s">
        <v>26</v>
      </c>
      <c r="G35" s="2">
        <v>40875</v>
      </c>
    </row>
    <row r="36" spans="1:7" x14ac:dyDescent="0.35">
      <c r="A36" s="10">
        <v>44890</v>
      </c>
      <c r="B36" s="2" t="s">
        <v>16</v>
      </c>
      <c r="C36" s="2" t="s">
        <v>14</v>
      </c>
      <c r="D36" s="2">
        <v>0</v>
      </c>
      <c r="E36" s="2">
        <v>2</v>
      </c>
      <c r="F36" s="2" t="s">
        <v>12</v>
      </c>
      <c r="G36" s="2">
        <v>40875</v>
      </c>
    </row>
    <row r="37" spans="1:7" x14ac:dyDescent="0.35">
      <c r="A37" s="10">
        <v>44888</v>
      </c>
      <c r="B37" s="7" t="s">
        <v>33</v>
      </c>
      <c r="C37" s="7" t="s">
        <v>34</v>
      </c>
      <c r="D37" s="7">
        <v>1</v>
      </c>
      <c r="E37" s="7">
        <v>0</v>
      </c>
      <c r="F37" s="7" t="s">
        <v>12</v>
      </c>
      <c r="G37" s="7">
        <v>40432</v>
      </c>
    </row>
    <row r="38" spans="1:7" x14ac:dyDescent="0.35">
      <c r="A38" s="10">
        <v>44888</v>
      </c>
      <c r="B38" s="7" t="s">
        <v>29</v>
      </c>
      <c r="C38" s="7" t="s">
        <v>30</v>
      </c>
      <c r="D38" s="7">
        <v>7</v>
      </c>
      <c r="E38" s="7">
        <v>0</v>
      </c>
      <c r="F38" s="7" t="s">
        <v>17</v>
      </c>
      <c r="G38" s="7">
        <v>40013</v>
      </c>
    </row>
    <row r="39" spans="1:7" x14ac:dyDescent="0.35">
      <c r="A39" s="10">
        <v>44893</v>
      </c>
      <c r="B39" s="7" t="s">
        <v>36</v>
      </c>
      <c r="C39" s="7" t="s">
        <v>38</v>
      </c>
      <c r="D39" s="7">
        <v>3</v>
      </c>
      <c r="E39" s="7">
        <v>3</v>
      </c>
      <c r="F39" s="7" t="s">
        <v>26</v>
      </c>
      <c r="G39" s="7">
        <v>39789</v>
      </c>
    </row>
    <row r="40" spans="1:7" x14ac:dyDescent="0.35">
      <c r="A40" s="10">
        <v>44887</v>
      </c>
      <c r="B40" s="2" t="s">
        <v>21</v>
      </c>
      <c r="C40" s="2" t="s">
        <v>22</v>
      </c>
      <c r="D40" s="2">
        <v>0</v>
      </c>
      <c r="E40" s="2">
        <v>0</v>
      </c>
      <c r="F40" s="2" t="s">
        <v>17</v>
      </c>
      <c r="G40" s="2">
        <v>39369</v>
      </c>
    </row>
    <row r="41" spans="1:7" x14ac:dyDescent="0.35">
      <c r="A41" s="10">
        <v>44889</v>
      </c>
      <c r="B41" s="7" t="s">
        <v>35</v>
      </c>
      <c r="C41" s="7" t="s">
        <v>36</v>
      </c>
      <c r="D41" s="7">
        <v>1</v>
      </c>
      <c r="E41" s="7">
        <v>0</v>
      </c>
      <c r="F41" s="7" t="s">
        <v>26</v>
      </c>
      <c r="G41" s="7">
        <v>39089</v>
      </c>
    </row>
    <row r="42" spans="1:7" x14ac:dyDescent="0.35">
      <c r="A42" s="10">
        <v>44899</v>
      </c>
      <c r="B42" s="2" t="s">
        <v>43</v>
      </c>
      <c r="C42" s="2" t="s">
        <v>22</v>
      </c>
      <c r="D42" s="2">
        <v>3</v>
      </c>
      <c r="E42" s="2">
        <v>1</v>
      </c>
      <c r="F42" s="2" t="s">
        <v>17</v>
      </c>
      <c r="G42" s="2">
        <v>40989</v>
      </c>
    </row>
    <row r="43" spans="1:7" x14ac:dyDescent="0.35">
      <c r="A43" s="10">
        <v>44897</v>
      </c>
      <c r="B43" s="7" t="s">
        <v>38</v>
      </c>
      <c r="C43" s="2" t="s">
        <v>35</v>
      </c>
      <c r="D43" s="2">
        <v>2</v>
      </c>
      <c r="E43" s="2">
        <v>3</v>
      </c>
      <c r="F43" s="2" t="s">
        <v>17</v>
      </c>
      <c r="G43" s="2">
        <v>41378</v>
      </c>
    </row>
    <row r="44" spans="1:7" x14ac:dyDescent="0.35">
      <c r="A44" s="10">
        <v>44900</v>
      </c>
      <c r="B44" s="2" t="s">
        <v>28</v>
      </c>
      <c r="C44" s="2" t="s">
        <v>32</v>
      </c>
      <c r="D44" s="2">
        <v>1</v>
      </c>
      <c r="E44" s="2">
        <v>1</v>
      </c>
      <c r="F44" s="2" t="s">
        <v>26</v>
      </c>
      <c r="G44" s="2">
        <v>42523</v>
      </c>
    </row>
    <row r="45" spans="1:7" x14ac:dyDescent="0.35">
      <c r="A45" s="10">
        <v>44896</v>
      </c>
      <c r="B45" s="7" t="s">
        <v>34</v>
      </c>
      <c r="C45" s="7" t="s">
        <v>31</v>
      </c>
      <c r="D45" s="7">
        <v>1</v>
      </c>
      <c r="E45" s="7">
        <v>2</v>
      </c>
      <c r="F45" s="7" t="s">
        <v>17</v>
      </c>
      <c r="G45" s="7">
        <v>43102</v>
      </c>
    </row>
    <row r="46" spans="1:7" x14ac:dyDescent="0.35">
      <c r="A46" s="10">
        <v>44897</v>
      </c>
      <c r="B46" s="2" t="s">
        <v>42</v>
      </c>
      <c r="C46" s="2" t="s">
        <v>39</v>
      </c>
      <c r="D46" s="2">
        <v>0</v>
      </c>
      <c r="E46" s="2">
        <v>2</v>
      </c>
      <c r="F46" s="2" t="s">
        <v>26</v>
      </c>
      <c r="G46" s="2">
        <v>43443</v>
      </c>
    </row>
    <row r="47" spans="1:7" x14ac:dyDescent="0.35">
      <c r="A47" s="10">
        <v>44900</v>
      </c>
      <c r="B47" s="2" t="s">
        <v>37</v>
      </c>
      <c r="C47" s="2" t="s">
        <v>40</v>
      </c>
      <c r="D47" s="2">
        <v>4</v>
      </c>
      <c r="E47" s="2">
        <v>1</v>
      </c>
      <c r="F47" s="2" t="s">
        <v>17</v>
      </c>
      <c r="G47" s="2">
        <v>43847</v>
      </c>
    </row>
    <row r="48" spans="1:7" x14ac:dyDescent="0.35">
      <c r="A48" s="10">
        <v>44904</v>
      </c>
      <c r="B48" s="2" t="s">
        <v>32</v>
      </c>
      <c r="C48" s="2" t="s">
        <v>37</v>
      </c>
      <c r="D48" s="2">
        <v>1</v>
      </c>
      <c r="E48" s="2">
        <v>1</v>
      </c>
      <c r="F48" s="2" t="s">
        <v>12</v>
      </c>
      <c r="G48" s="2">
        <v>43893</v>
      </c>
    </row>
    <row r="49" spans="1:7" x14ac:dyDescent="0.35">
      <c r="A49" s="10">
        <v>44896</v>
      </c>
      <c r="B49" s="7" t="s">
        <v>32</v>
      </c>
      <c r="C49" s="7" t="s">
        <v>33</v>
      </c>
      <c r="D49" s="7">
        <v>0</v>
      </c>
      <c r="E49" s="7">
        <v>0</v>
      </c>
      <c r="F49" s="7" t="s">
        <v>12</v>
      </c>
      <c r="G49" s="7">
        <v>43984</v>
      </c>
    </row>
    <row r="50" spans="1:7" x14ac:dyDescent="0.35">
      <c r="A50" s="10">
        <v>44897</v>
      </c>
      <c r="B50" s="2" t="s">
        <v>40</v>
      </c>
      <c r="C50" s="2" t="s">
        <v>41</v>
      </c>
      <c r="D50" s="2">
        <v>2</v>
      </c>
      <c r="E50" s="2">
        <v>1</v>
      </c>
      <c r="F50" s="2" t="s">
        <v>12</v>
      </c>
      <c r="G50" s="2">
        <v>44097</v>
      </c>
    </row>
    <row r="51" spans="1:7" x14ac:dyDescent="0.35">
      <c r="A51" s="10">
        <v>44912</v>
      </c>
      <c r="B51" s="2" t="s">
        <v>32</v>
      </c>
      <c r="C51" s="2" t="s">
        <v>31</v>
      </c>
      <c r="D51" s="2">
        <v>2</v>
      </c>
      <c r="E51" s="2">
        <v>1</v>
      </c>
      <c r="F51" s="2" t="s">
        <v>12</v>
      </c>
      <c r="G51" s="2">
        <v>44137</v>
      </c>
    </row>
    <row r="52" spans="1:7" x14ac:dyDescent="0.35">
      <c r="A52" s="10">
        <v>44905</v>
      </c>
      <c r="B52" s="2" t="s">
        <v>31</v>
      </c>
      <c r="C52" s="2" t="s">
        <v>41</v>
      </c>
      <c r="D52" s="2">
        <v>1</v>
      </c>
      <c r="E52" s="2">
        <v>0</v>
      </c>
      <c r="F52" s="2" t="s">
        <v>17</v>
      </c>
      <c r="G52" s="2">
        <v>44198</v>
      </c>
    </row>
    <row r="53" spans="1:7" x14ac:dyDescent="0.35">
      <c r="A53" s="10">
        <v>44901</v>
      </c>
      <c r="B53" s="2" t="s">
        <v>31</v>
      </c>
      <c r="C53" s="2" t="s">
        <v>29</v>
      </c>
      <c r="D53" s="2">
        <v>0</v>
      </c>
      <c r="E53" s="2">
        <v>0</v>
      </c>
      <c r="F53" s="2" t="s">
        <v>12</v>
      </c>
      <c r="G53" s="2">
        <v>44667</v>
      </c>
    </row>
    <row r="54" spans="1:7" x14ac:dyDescent="0.35">
      <c r="A54" s="10">
        <v>44898</v>
      </c>
      <c r="B54" s="2" t="s">
        <v>11</v>
      </c>
      <c r="C54" s="2" t="s">
        <v>15</v>
      </c>
      <c r="D54" s="2">
        <v>3</v>
      </c>
      <c r="E54" s="2">
        <v>1</v>
      </c>
      <c r="F54" s="2" t="s">
        <v>12</v>
      </c>
      <c r="G54" s="2">
        <v>44846</v>
      </c>
    </row>
    <row r="55" spans="1:7" x14ac:dyDescent="0.35">
      <c r="A55" s="10">
        <v>44896</v>
      </c>
      <c r="B55" s="7" t="s">
        <v>28</v>
      </c>
      <c r="C55" s="7" t="s">
        <v>29</v>
      </c>
      <c r="D55" s="7">
        <v>2</v>
      </c>
      <c r="E55" s="7">
        <v>1</v>
      </c>
      <c r="F55" s="7" t="s">
        <v>12</v>
      </c>
      <c r="G55" s="7">
        <v>44851</v>
      </c>
    </row>
    <row r="56" spans="1:7" x14ac:dyDescent="0.35">
      <c r="A56" s="10">
        <v>44898</v>
      </c>
      <c r="B56" s="2" t="s">
        <v>18</v>
      </c>
      <c r="C56" s="2" t="s">
        <v>25</v>
      </c>
      <c r="D56" s="2">
        <v>2</v>
      </c>
      <c r="E56" s="2">
        <v>1</v>
      </c>
      <c r="F56" s="2" t="s">
        <v>12</v>
      </c>
      <c r="G56" s="2">
        <v>45032</v>
      </c>
    </row>
    <row r="57" spans="1:7" x14ac:dyDescent="0.35">
      <c r="A57" s="10">
        <v>44899</v>
      </c>
      <c r="B57" s="2" t="s">
        <v>13</v>
      </c>
      <c r="C57" s="2" t="s">
        <v>10</v>
      </c>
      <c r="D57" s="2">
        <v>3</v>
      </c>
      <c r="E57" s="2">
        <v>0</v>
      </c>
      <c r="F57" s="2" t="s">
        <v>9</v>
      </c>
      <c r="G57" s="2">
        <v>65985</v>
      </c>
    </row>
    <row r="58" spans="1:7" x14ac:dyDescent="0.35">
      <c r="A58" s="10">
        <v>44896</v>
      </c>
      <c r="B58" s="7" t="s">
        <v>30</v>
      </c>
      <c r="C58" s="7" t="s">
        <v>27</v>
      </c>
      <c r="D58" s="7">
        <v>2</v>
      </c>
      <c r="E58" s="7">
        <v>4</v>
      </c>
      <c r="F58" s="7" t="s">
        <v>9</v>
      </c>
      <c r="G58" s="7">
        <v>67054</v>
      </c>
    </row>
    <row r="59" spans="1:7" x14ac:dyDescent="0.35">
      <c r="A59" s="10">
        <v>44909</v>
      </c>
      <c r="B59" s="2" t="s">
        <v>43</v>
      </c>
      <c r="C59" s="2" t="s">
        <v>31</v>
      </c>
      <c r="D59" s="2">
        <v>2</v>
      </c>
      <c r="E59" s="2">
        <v>0</v>
      </c>
      <c r="F59" s="2" t="s">
        <v>9</v>
      </c>
      <c r="G59" s="2">
        <v>68294</v>
      </c>
    </row>
    <row r="60" spans="1:7" x14ac:dyDescent="0.35">
      <c r="A60" s="10">
        <v>44905</v>
      </c>
      <c r="B60" s="2" t="s">
        <v>13</v>
      </c>
      <c r="C60" s="2" t="s">
        <v>43</v>
      </c>
      <c r="D60" s="2">
        <v>1</v>
      </c>
      <c r="E60" s="2">
        <v>2</v>
      </c>
      <c r="F60" s="2" t="s">
        <v>9</v>
      </c>
      <c r="G60" s="2">
        <v>68895</v>
      </c>
    </row>
    <row r="61" spans="1:7" x14ac:dyDescent="0.35">
      <c r="A61" s="10">
        <v>44901</v>
      </c>
      <c r="B61" s="2" t="s">
        <v>41</v>
      </c>
      <c r="C61" s="2" t="s">
        <v>35</v>
      </c>
      <c r="D61" s="2">
        <v>6</v>
      </c>
      <c r="E61" s="2">
        <v>1</v>
      </c>
      <c r="F61" s="2" t="s">
        <v>20</v>
      </c>
      <c r="G61" s="2">
        <v>83720</v>
      </c>
    </row>
    <row r="62" spans="1:7" x14ac:dyDescent="0.35">
      <c r="A62" s="10">
        <v>44897</v>
      </c>
      <c r="B62" s="7" t="s">
        <v>36</v>
      </c>
      <c r="C62" s="7" t="s">
        <v>37</v>
      </c>
      <c r="D62" s="2">
        <v>1</v>
      </c>
      <c r="E62" s="2">
        <v>0</v>
      </c>
      <c r="F62" s="2" t="s">
        <v>20</v>
      </c>
      <c r="G62" s="2">
        <v>85986</v>
      </c>
    </row>
    <row r="63" spans="1:7" x14ac:dyDescent="0.35">
      <c r="A63" s="10">
        <v>44904</v>
      </c>
      <c r="B63" s="2" t="s">
        <v>11</v>
      </c>
      <c r="C63" s="2" t="s">
        <v>18</v>
      </c>
      <c r="D63" s="2">
        <v>2</v>
      </c>
      <c r="E63" s="2">
        <v>2</v>
      </c>
      <c r="F63" s="2" t="s">
        <v>20</v>
      </c>
      <c r="G63" s="2">
        <v>88235</v>
      </c>
    </row>
    <row r="64" spans="1:7" x14ac:dyDescent="0.35">
      <c r="A64" s="10">
        <v>44908</v>
      </c>
      <c r="B64" s="2" t="s">
        <v>18</v>
      </c>
      <c r="C64" s="2" t="s">
        <v>32</v>
      </c>
      <c r="D64" s="2">
        <v>3</v>
      </c>
      <c r="E64" s="2">
        <v>0</v>
      </c>
      <c r="F64" s="2" t="s">
        <v>20</v>
      </c>
      <c r="G64" s="2">
        <v>88966</v>
      </c>
    </row>
    <row r="65" spans="1:7" x14ac:dyDescent="0.35">
      <c r="A65" s="10">
        <v>44913</v>
      </c>
      <c r="B65" s="2" t="s">
        <v>18</v>
      </c>
      <c r="C65" s="2" t="s">
        <v>43</v>
      </c>
      <c r="D65" s="2">
        <v>3</v>
      </c>
      <c r="E65" s="2">
        <v>3</v>
      </c>
      <c r="F65" s="2" t="s">
        <v>20</v>
      </c>
      <c r="G65" s="2">
        <v>88966</v>
      </c>
    </row>
  </sheetData>
  <sortState xmlns:xlrd2="http://schemas.microsoft.com/office/spreadsheetml/2017/richdata2" ref="A42:G65">
    <sortCondition ref="G42:G65"/>
  </sortState>
  <mergeCells count="1">
    <mergeCell ref="J1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E4A0-F969-483B-8AE3-BC9F14892E29}">
  <dimension ref="A1:Q24"/>
  <sheetViews>
    <sheetView tabSelected="1" zoomScaleNormal="100" workbookViewId="0">
      <selection activeCell="L17" sqref="L17"/>
    </sheetView>
  </sheetViews>
  <sheetFormatPr defaultRowHeight="14.5" x14ac:dyDescent="0.35"/>
  <cols>
    <col min="1" max="1" width="13.54296875" bestFit="1" customWidth="1"/>
    <col min="2" max="2" width="16.81640625" bestFit="1" customWidth="1"/>
    <col min="3" max="3" width="23.7265625" bestFit="1" customWidth="1"/>
    <col min="5" max="5" width="10.453125" customWidth="1"/>
    <col min="17" max="17" width="12.453125" customWidth="1"/>
  </cols>
  <sheetData>
    <row r="1" spans="1:17" ht="15" customHeight="1" x14ac:dyDescent="0.35">
      <c r="A1" s="4" t="s">
        <v>46</v>
      </c>
      <c r="B1" s="4" t="s">
        <v>44</v>
      </c>
      <c r="C1" s="5" t="s">
        <v>45</v>
      </c>
      <c r="E1" s="8" t="s">
        <v>59</v>
      </c>
      <c r="F1" s="20" t="s">
        <v>66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5">
      <c r="A2" s="10">
        <v>44885</v>
      </c>
      <c r="B2" s="13">
        <v>1</v>
      </c>
      <c r="C2" s="2">
        <v>67372</v>
      </c>
      <c r="E2" s="22" t="s">
        <v>60</v>
      </c>
      <c r="F2" s="20" t="s">
        <v>74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5" customHeight="1" x14ac:dyDescent="0.35">
      <c r="A3" s="10">
        <v>44886</v>
      </c>
      <c r="B3" s="13">
        <v>3</v>
      </c>
      <c r="C3" s="2">
        <v>43491</v>
      </c>
      <c r="E3" s="2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35">
      <c r="A4" s="10">
        <v>44887</v>
      </c>
      <c r="B4" s="13">
        <v>4</v>
      </c>
      <c r="C4" s="2">
        <v>52795</v>
      </c>
      <c r="E4" s="22" t="s">
        <v>61</v>
      </c>
      <c r="F4" s="20" t="s">
        <v>67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x14ac:dyDescent="0.35">
      <c r="A5" s="10">
        <v>44888</v>
      </c>
      <c r="B5" s="13">
        <v>4</v>
      </c>
      <c r="C5" s="2">
        <v>45615</v>
      </c>
      <c r="E5" s="2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35">
      <c r="A6" s="10">
        <v>44889</v>
      </c>
      <c r="B6" s="13">
        <v>4</v>
      </c>
      <c r="C6" s="2">
        <v>52879</v>
      </c>
      <c r="E6" s="8" t="s">
        <v>62</v>
      </c>
      <c r="F6" s="32" t="s">
        <v>68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</row>
    <row r="7" spans="1:17" x14ac:dyDescent="0.35">
      <c r="A7" s="10">
        <v>44890</v>
      </c>
      <c r="B7" s="13">
        <v>4</v>
      </c>
      <c r="C7" s="2">
        <v>54669</v>
      </c>
      <c r="E7" s="22" t="s">
        <v>64</v>
      </c>
      <c r="F7" s="20" t="s">
        <v>69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x14ac:dyDescent="0.35">
      <c r="A8" s="10">
        <v>44891</v>
      </c>
      <c r="B8" s="13">
        <v>4</v>
      </c>
      <c r="C8" s="2">
        <v>54477</v>
      </c>
      <c r="E8" s="2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x14ac:dyDescent="0.35">
      <c r="A9" s="10">
        <v>44892</v>
      </c>
      <c r="B9" s="13">
        <v>4</v>
      </c>
      <c r="C9" s="2">
        <v>49622</v>
      </c>
    </row>
    <row r="10" spans="1:17" x14ac:dyDescent="0.35">
      <c r="A10" s="10">
        <v>44893</v>
      </c>
      <c r="B10" s="13">
        <v>4</v>
      </c>
      <c r="C10" s="2">
        <v>54022</v>
      </c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x14ac:dyDescent="0.35">
      <c r="A11" s="10">
        <v>44894</v>
      </c>
      <c r="B11" s="13">
        <v>4</v>
      </c>
      <c r="C11" s="2">
        <v>43212</v>
      </c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</row>
    <row r="12" spans="1:17" x14ac:dyDescent="0.35">
      <c r="A12" s="10">
        <v>44895</v>
      </c>
      <c r="B12" s="13">
        <v>4</v>
      </c>
      <c r="C12" s="2">
        <v>53483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</row>
    <row r="13" spans="1:17" x14ac:dyDescent="0.35">
      <c r="A13" s="10">
        <v>44896</v>
      </c>
      <c r="B13" s="13">
        <v>4</v>
      </c>
      <c r="C13" s="2">
        <v>49748</v>
      </c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</row>
    <row r="14" spans="1:17" x14ac:dyDescent="0.35">
      <c r="A14" s="10">
        <v>44897</v>
      </c>
      <c r="B14" s="13">
        <v>4</v>
      </c>
      <c r="C14" s="2">
        <v>53726</v>
      </c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</row>
    <row r="15" spans="1:17" x14ac:dyDescent="0.35">
      <c r="A15" s="10">
        <v>44898</v>
      </c>
      <c r="B15" s="13">
        <v>2</v>
      </c>
      <c r="C15" s="2">
        <v>44939</v>
      </c>
    </row>
    <row r="16" spans="1:17" x14ac:dyDescent="0.35">
      <c r="A16" s="10">
        <v>44899</v>
      </c>
      <c r="B16" s="13">
        <v>2</v>
      </c>
      <c r="C16" s="2">
        <v>53487</v>
      </c>
      <c r="E16" s="19"/>
    </row>
    <row r="17" spans="1:3" x14ac:dyDescent="0.35">
      <c r="A17" s="10">
        <v>44900</v>
      </c>
      <c r="B17" s="13">
        <v>2</v>
      </c>
      <c r="C17" s="2">
        <v>43185</v>
      </c>
    </row>
    <row r="18" spans="1:3" x14ac:dyDescent="0.35">
      <c r="A18" s="10">
        <v>44901</v>
      </c>
      <c r="B18" s="13">
        <v>2</v>
      </c>
      <c r="C18" s="2">
        <v>64194</v>
      </c>
    </row>
    <row r="19" spans="1:3" x14ac:dyDescent="0.35">
      <c r="A19" s="10">
        <v>44904</v>
      </c>
      <c r="B19" s="13">
        <v>2</v>
      </c>
      <c r="C19" s="2">
        <v>66064</v>
      </c>
    </row>
    <row r="20" spans="1:3" x14ac:dyDescent="0.35">
      <c r="A20" s="10">
        <v>44905</v>
      </c>
      <c r="B20" s="13">
        <v>2</v>
      </c>
      <c r="C20" s="2">
        <v>56547</v>
      </c>
    </row>
    <row r="21" spans="1:3" x14ac:dyDescent="0.35">
      <c r="A21" s="10">
        <v>44908</v>
      </c>
      <c r="B21" s="13">
        <v>1</v>
      </c>
      <c r="C21" s="2">
        <v>88966</v>
      </c>
    </row>
    <row r="22" spans="1:3" x14ac:dyDescent="0.35">
      <c r="A22" s="10">
        <v>44909</v>
      </c>
      <c r="B22" s="13">
        <v>1</v>
      </c>
      <c r="C22" s="2">
        <v>68294</v>
      </c>
    </row>
    <row r="23" spans="1:3" x14ac:dyDescent="0.35">
      <c r="A23" s="10">
        <v>44912</v>
      </c>
      <c r="B23" s="13">
        <v>1</v>
      </c>
      <c r="C23" s="2">
        <v>44137</v>
      </c>
    </row>
    <row r="24" spans="1:3" x14ac:dyDescent="0.35">
      <c r="A24" s="10">
        <v>44913</v>
      </c>
      <c r="B24" s="13">
        <v>1</v>
      </c>
      <c r="C24" s="2">
        <v>88966</v>
      </c>
    </row>
  </sheetData>
  <sortState xmlns:xlrd2="http://schemas.microsoft.com/office/spreadsheetml/2017/richdata2" ref="A2:A65">
    <sortCondition ref="A1:A65"/>
  </sortState>
  <mergeCells count="9">
    <mergeCell ref="F1:Q1"/>
    <mergeCell ref="E2:E3"/>
    <mergeCell ref="F2:Q3"/>
    <mergeCell ref="F10:Q14"/>
    <mergeCell ref="F7:Q8"/>
    <mergeCell ref="E4:E5"/>
    <mergeCell ref="E7:E8"/>
    <mergeCell ref="F4:Q5"/>
    <mergeCell ref="F6:Q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1 užduotis</vt:lpstr>
      <vt:lpstr>2 užduotis</vt:lpstr>
      <vt:lpstr>3 užduotis</vt:lpstr>
      <vt:lpstr>4 užduotis</vt:lpstr>
      <vt:lpstr>5 užduotis</vt:lpstr>
      <vt:lpstr>6 užduotis</vt:lpstr>
      <vt:lpstr>Atranka</vt:lpstr>
      <vt:lpstr>Rikiavimas</vt:lpstr>
      <vt:lpstr>Diagrama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Vartotojas</dc:creator>
  <cp:lastModifiedBy>Andrej Gorbatniov</cp:lastModifiedBy>
  <cp:lastPrinted>2025-04-15T21:37:17Z</cp:lastPrinted>
  <dcterms:created xsi:type="dcterms:W3CDTF">2025-04-02T11:49:45Z</dcterms:created>
  <dcterms:modified xsi:type="dcterms:W3CDTF">2026-03-19T08:52:20Z</dcterms:modified>
</cp:coreProperties>
</file>